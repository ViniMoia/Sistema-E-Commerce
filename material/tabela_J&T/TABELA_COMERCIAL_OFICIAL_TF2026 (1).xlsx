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TCliente\Downloads\CHECKLIST V10 2025\CHECKLIST FRUOS AMAZONICOS\J A QUARESMA DE SOUSA IND &amp; COM\COMBINÔ MODAS\DOCS MOLETOMANIA\ANEXOS PARA PROPOSTA COMERCIAL 2025\"/>
    </mc:Choice>
  </mc:AlternateContent>
  <xr:revisionPtr revIDLastSave="0" documentId="8_{5DB82DEF-3DC7-48EE-8963-7D3E8AD19098}" xr6:coauthVersionLast="47" xr6:coauthVersionMax="47" xr10:uidLastSave="{00000000-0000-0000-0000-000000000000}"/>
  <bookViews>
    <workbookView xWindow="-108" yWindow="-108" windowWidth="23256" windowHeight="12456" activeTab="1" xr2:uid="{6EAB8AD4-39A9-4A38-8B8D-6E35A7150DA5}"/>
  </bookViews>
  <sheets>
    <sheet name="PROPOSTA COMERCIAL" sheetId="1" r:id="rId1"/>
    <sheet name="PROPOSTA PADR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C23" i="2" l="1"/>
  <c r="FC24" i="2" s="1"/>
  <c r="FC25" i="2" s="1"/>
  <c r="FC26" i="2" s="1"/>
  <c r="FC27" i="2" s="1"/>
  <c r="FC28" i="2" s="1"/>
  <c r="FC29" i="2" s="1"/>
  <c r="FC30" i="2" s="1"/>
  <c r="FB23" i="2"/>
  <c r="FB24" i="2" s="1"/>
  <c r="FB25" i="2" s="1"/>
  <c r="FB26" i="2" s="1"/>
  <c r="FB27" i="2" s="1"/>
  <c r="FB28" i="2" s="1"/>
  <c r="FB29" i="2" s="1"/>
  <c r="FB30" i="2" s="1"/>
  <c r="EY23" i="2"/>
  <c r="EY24" i="2" s="1"/>
  <c r="EY25" i="2" s="1"/>
  <c r="EY26" i="2" s="1"/>
  <c r="EY27" i="2" s="1"/>
  <c r="EY28" i="2" s="1"/>
  <c r="EY29" i="2" s="1"/>
  <c r="EY30" i="2" s="1"/>
  <c r="EX23" i="2"/>
  <c r="EX24" i="2" s="1"/>
  <c r="EX25" i="2" s="1"/>
  <c r="EX26" i="2" s="1"/>
  <c r="EX27" i="2" s="1"/>
  <c r="EX28" i="2" s="1"/>
  <c r="EX29" i="2" s="1"/>
  <c r="EX30" i="2" s="1"/>
  <c r="EU23" i="2"/>
  <c r="EU24" i="2" s="1"/>
  <c r="EU25" i="2" s="1"/>
  <c r="EU26" i="2" s="1"/>
  <c r="EU27" i="2" s="1"/>
  <c r="EU28" i="2" s="1"/>
  <c r="EU29" i="2" s="1"/>
  <c r="EU30" i="2" s="1"/>
  <c r="ET23" i="2"/>
  <c r="ET24" i="2" s="1"/>
  <c r="ET25" i="2" s="1"/>
  <c r="ET26" i="2" s="1"/>
  <c r="ET27" i="2" s="1"/>
  <c r="ET28" i="2" s="1"/>
  <c r="ET29" i="2" s="1"/>
  <c r="ET30" i="2" s="1"/>
  <c r="EQ23" i="2"/>
  <c r="EQ24" i="2" s="1"/>
  <c r="EQ25" i="2" s="1"/>
  <c r="EQ26" i="2" s="1"/>
  <c r="EQ27" i="2" s="1"/>
  <c r="EQ28" i="2" s="1"/>
  <c r="EQ29" i="2" s="1"/>
  <c r="EQ30" i="2" s="1"/>
  <c r="EP23" i="2"/>
  <c r="EP24" i="2" s="1"/>
  <c r="EP25" i="2" s="1"/>
  <c r="EP26" i="2" s="1"/>
  <c r="EP27" i="2" s="1"/>
  <c r="EP28" i="2" s="1"/>
  <c r="EP29" i="2" s="1"/>
  <c r="EP30" i="2" s="1"/>
  <c r="EM23" i="2"/>
  <c r="EM24" i="2" s="1"/>
  <c r="EM25" i="2" s="1"/>
  <c r="EM26" i="2" s="1"/>
  <c r="EM27" i="2" s="1"/>
  <c r="EM28" i="2" s="1"/>
  <c r="EM29" i="2" s="1"/>
  <c r="EM30" i="2" s="1"/>
  <c r="FD22" i="2"/>
  <c r="FD23" i="2" s="1"/>
  <c r="FD24" i="2" s="1"/>
  <c r="FD25" i="2" s="1"/>
  <c r="FD26" i="2" s="1"/>
  <c r="FD27" i="2" s="1"/>
  <c r="FD28" i="2" s="1"/>
  <c r="FD29" i="2" s="1"/>
  <c r="FD30" i="2" s="1"/>
  <c r="FC22" i="2"/>
  <c r="FB22" i="2"/>
  <c r="FA22" i="2"/>
  <c r="FA23" i="2" s="1"/>
  <c r="FA24" i="2" s="1"/>
  <c r="FA25" i="2" s="1"/>
  <c r="FA26" i="2" s="1"/>
  <c r="FA27" i="2" s="1"/>
  <c r="FA28" i="2" s="1"/>
  <c r="FA29" i="2" s="1"/>
  <c r="FA30" i="2" s="1"/>
  <c r="EZ22" i="2"/>
  <c r="EZ23" i="2" s="1"/>
  <c r="EZ24" i="2" s="1"/>
  <c r="EZ25" i="2" s="1"/>
  <c r="EZ26" i="2" s="1"/>
  <c r="EZ27" i="2" s="1"/>
  <c r="EZ28" i="2" s="1"/>
  <c r="EZ29" i="2" s="1"/>
  <c r="EZ30" i="2" s="1"/>
  <c r="EY22" i="2"/>
  <c r="EX22" i="2"/>
  <c r="EW22" i="2"/>
  <c r="EW23" i="2" s="1"/>
  <c r="EW24" i="2" s="1"/>
  <c r="EW25" i="2" s="1"/>
  <c r="EW26" i="2" s="1"/>
  <c r="EW27" i="2" s="1"/>
  <c r="EW28" i="2" s="1"/>
  <c r="EW29" i="2" s="1"/>
  <c r="EW30" i="2" s="1"/>
  <c r="EV22" i="2"/>
  <c r="EV23" i="2" s="1"/>
  <c r="EV24" i="2" s="1"/>
  <c r="EV25" i="2" s="1"/>
  <c r="EV26" i="2" s="1"/>
  <c r="EV27" i="2" s="1"/>
  <c r="EV28" i="2" s="1"/>
  <c r="EV29" i="2" s="1"/>
  <c r="EV30" i="2" s="1"/>
  <c r="EU22" i="2"/>
  <c r="ET22" i="2"/>
  <c r="ES22" i="2"/>
  <c r="ES23" i="2" s="1"/>
  <c r="ES24" i="2" s="1"/>
  <c r="ES25" i="2" s="1"/>
  <c r="ES26" i="2" s="1"/>
  <c r="ES27" i="2" s="1"/>
  <c r="ES28" i="2" s="1"/>
  <c r="ES29" i="2" s="1"/>
  <c r="ES30" i="2" s="1"/>
  <c r="ER22" i="2"/>
  <c r="ER23" i="2" s="1"/>
  <c r="ER24" i="2" s="1"/>
  <c r="ER25" i="2" s="1"/>
  <c r="ER26" i="2" s="1"/>
  <c r="ER27" i="2" s="1"/>
  <c r="ER28" i="2" s="1"/>
  <c r="ER29" i="2" s="1"/>
  <c r="ER30" i="2" s="1"/>
  <c r="EQ22" i="2"/>
  <c r="EP22" i="2"/>
  <c r="EO22" i="2"/>
  <c r="EO23" i="2" s="1"/>
  <c r="EO24" i="2" s="1"/>
  <c r="EO25" i="2" s="1"/>
  <c r="EO26" i="2" s="1"/>
  <c r="EO27" i="2" s="1"/>
  <c r="EO28" i="2" s="1"/>
  <c r="EO29" i="2" s="1"/>
  <c r="EO30" i="2" s="1"/>
  <c r="EN22" i="2"/>
  <c r="EN23" i="2" s="1"/>
  <c r="EN24" i="2" s="1"/>
  <c r="EN25" i="2" s="1"/>
  <c r="EN26" i="2" s="1"/>
  <c r="EN27" i="2" s="1"/>
  <c r="EN28" i="2" s="1"/>
  <c r="EN29" i="2" s="1"/>
  <c r="EN30" i="2" s="1"/>
  <c r="EM22" i="2"/>
  <c r="EL23" i="2"/>
  <c r="EL24" i="2" s="1"/>
  <c r="EL25" i="2" s="1"/>
  <c r="EL26" i="2" s="1"/>
  <c r="EL27" i="2" s="1"/>
  <c r="EL28" i="2" s="1"/>
  <c r="EL29" i="2" s="1"/>
  <c r="EL30" i="2" s="1"/>
  <c r="EL22" i="2"/>
  <c r="DY29" i="2"/>
  <c r="DY30" i="2" s="1"/>
  <c r="EC28" i="2"/>
  <c r="EC29" i="2" s="1"/>
  <c r="EC30" i="2" s="1"/>
  <c r="BQ28" i="2"/>
  <c r="BQ29" i="2" s="1"/>
  <c r="BQ30" i="2" s="1"/>
  <c r="AI28" i="2"/>
  <c r="AI29" i="2" s="1"/>
  <c r="AI30" i="2" s="1"/>
  <c r="EE27" i="2"/>
  <c r="EE28" i="2" s="1"/>
  <c r="EE29" i="2" s="1"/>
  <c r="EE30" i="2" s="1"/>
  <c r="CY27" i="2"/>
  <c r="CY28" i="2" s="1"/>
  <c r="CY29" i="2" s="1"/>
  <c r="CY30" i="2" s="1"/>
  <c r="BS27" i="2"/>
  <c r="BS28" i="2" s="1"/>
  <c r="BS29" i="2" s="1"/>
  <c r="BS30" i="2" s="1"/>
  <c r="AM27" i="2"/>
  <c r="AM28" i="2" s="1"/>
  <c r="AM29" i="2" s="1"/>
  <c r="AM30" i="2" s="1"/>
  <c r="DX23" i="2"/>
  <c r="DX24" i="2" s="1"/>
  <c r="DX25" i="2" s="1"/>
  <c r="DX26" i="2" s="1"/>
  <c r="DX27" i="2" s="1"/>
  <c r="DX28" i="2" s="1"/>
  <c r="DX29" i="2" s="1"/>
  <c r="DX30" i="2" s="1"/>
  <c r="DH23" i="2"/>
  <c r="DH24" i="2" s="1"/>
  <c r="DH25" i="2" s="1"/>
  <c r="DH26" i="2" s="1"/>
  <c r="DH27" i="2" s="1"/>
  <c r="DH28" i="2" s="1"/>
  <c r="DH29" i="2" s="1"/>
  <c r="DH30" i="2" s="1"/>
  <c r="CR23" i="2"/>
  <c r="CR24" i="2" s="1"/>
  <c r="CR25" i="2" s="1"/>
  <c r="CR26" i="2" s="1"/>
  <c r="CR27" i="2" s="1"/>
  <c r="CR28" i="2" s="1"/>
  <c r="CR29" i="2" s="1"/>
  <c r="CR30" i="2" s="1"/>
  <c r="CB23" i="2"/>
  <c r="CB24" i="2" s="1"/>
  <c r="CB25" i="2" s="1"/>
  <c r="CB26" i="2" s="1"/>
  <c r="CB27" i="2" s="1"/>
  <c r="CB28" i="2" s="1"/>
  <c r="CB29" i="2" s="1"/>
  <c r="CB30" i="2" s="1"/>
  <c r="BL23" i="2"/>
  <c r="BL24" i="2" s="1"/>
  <c r="BL25" i="2" s="1"/>
  <c r="BL26" i="2" s="1"/>
  <c r="BL27" i="2" s="1"/>
  <c r="BL28" i="2" s="1"/>
  <c r="BL29" i="2" s="1"/>
  <c r="BL30" i="2" s="1"/>
  <c r="AV23" i="2"/>
  <c r="AV24" i="2" s="1"/>
  <c r="AV25" i="2" s="1"/>
  <c r="AV26" i="2" s="1"/>
  <c r="AV27" i="2" s="1"/>
  <c r="AV28" i="2" s="1"/>
  <c r="AV29" i="2" s="1"/>
  <c r="AV30" i="2" s="1"/>
  <c r="AF23" i="2"/>
  <c r="AF24" i="2" s="1"/>
  <c r="AF25" i="2" s="1"/>
  <c r="AF26" i="2" s="1"/>
  <c r="AF27" i="2" s="1"/>
  <c r="AF28" i="2" s="1"/>
  <c r="AF29" i="2" s="1"/>
  <c r="AF30" i="2" s="1"/>
  <c r="EK22" i="2"/>
  <c r="EK23" i="2" s="1"/>
  <c r="EK24" i="2" s="1"/>
  <c r="EK25" i="2" s="1"/>
  <c r="EK26" i="2" s="1"/>
  <c r="EK27" i="2" s="1"/>
  <c r="EK28" i="2" s="1"/>
  <c r="EK29" i="2" s="1"/>
  <c r="EK30" i="2" s="1"/>
  <c r="EJ22" i="2"/>
  <c r="EJ23" i="2" s="1"/>
  <c r="EJ24" i="2" s="1"/>
  <c r="EJ25" i="2" s="1"/>
  <c r="EJ26" i="2" s="1"/>
  <c r="EJ27" i="2" s="1"/>
  <c r="EJ28" i="2" s="1"/>
  <c r="EJ29" i="2" s="1"/>
  <c r="EJ30" i="2" s="1"/>
  <c r="EI22" i="2"/>
  <c r="EI23" i="2" s="1"/>
  <c r="EI24" i="2" s="1"/>
  <c r="EI25" i="2" s="1"/>
  <c r="EI26" i="2" s="1"/>
  <c r="EI27" i="2" s="1"/>
  <c r="EI28" i="2" s="1"/>
  <c r="EI29" i="2" s="1"/>
  <c r="EI30" i="2" s="1"/>
  <c r="EH22" i="2"/>
  <c r="EH23" i="2" s="1"/>
  <c r="EH24" i="2" s="1"/>
  <c r="EH25" i="2" s="1"/>
  <c r="EH26" i="2" s="1"/>
  <c r="EH27" i="2" s="1"/>
  <c r="EH28" i="2" s="1"/>
  <c r="EH29" i="2" s="1"/>
  <c r="EH30" i="2" s="1"/>
  <c r="EG22" i="2"/>
  <c r="EG23" i="2" s="1"/>
  <c r="EG24" i="2" s="1"/>
  <c r="EG25" i="2" s="1"/>
  <c r="EG26" i="2" s="1"/>
  <c r="EG27" i="2" s="1"/>
  <c r="EG28" i="2" s="1"/>
  <c r="EG29" i="2" s="1"/>
  <c r="EG30" i="2" s="1"/>
  <c r="EF22" i="2"/>
  <c r="EF23" i="2" s="1"/>
  <c r="EF24" i="2" s="1"/>
  <c r="EF25" i="2" s="1"/>
  <c r="EF26" i="2" s="1"/>
  <c r="EF27" i="2" s="1"/>
  <c r="EF28" i="2" s="1"/>
  <c r="EF29" i="2" s="1"/>
  <c r="EF30" i="2" s="1"/>
  <c r="EE22" i="2"/>
  <c r="EE23" i="2" s="1"/>
  <c r="EE24" i="2" s="1"/>
  <c r="EE25" i="2" s="1"/>
  <c r="EE26" i="2" s="1"/>
  <c r="ED22" i="2"/>
  <c r="ED23" i="2" s="1"/>
  <c r="ED24" i="2" s="1"/>
  <c r="ED25" i="2" s="1"/>
  <c r="ED26" i="2" s="1"/>
  <c r="ED27" i="2" s="1"/>
  <c r="ED28" i="2" s="1"/>
  <c r="ED29" i="2" s="1"/>
  <c r="ED30" i="2" s="1"/>
  <c r="EC22" i="2"/>
  <c r="EC23" i="2" s="1"/>
  <c r="EC24" i="2" s="1"/>
  <c r="EC25" i="2" s="1"/>
  <c r="EC26" i="2" s="1"/>
  <c r="EC27" i="2" s="1"/>
  <c r="EB22" i="2"/>
  <c r="EB23" i="2" s="1"/>
  <c r="EB24" i="2" s="1"/>
  <c r="EB25" i="2" s="1"/>
  <c r="EB26" i="2" s="1"/>
  <c r="EB27" i="2" s="1"/>
  <c r="EB28" i="2" s="1"/>
  <c r="EB29" i="2" s="1"/>
  <c r="EB30" i="2" s="1"/>
  <c r="EA22" i="2"/>
  <c r="EA23" i="2" s="1"/>
  <c r="EA24" i="2" s="1"/>
  <c r="EA25" i="2" s="1"/>
  <c r="EA26" i="2" s="1"/>
  <c r="EA27" i="2" s="1"/>
  <c r="EA28" i="2" s="1"/>
  <c r="EA29" i="2" s="1"/>
  <c r="EA30" i="2" s="1"/>
  <c r="DZ22" i="2"/>
  <c r="DZ23" i="2" s="1"/>
  <c r="DZ24" i="2" s="1"/>
  <c r="DZ25" i="2" s="1"/>
  <c r="DZ26" i="2" s="1"/>
  <c r="DZ27" i="2" s="1"/>
  <c r="DZ28" i="2" s="1"/>
  <c r="DZ29" i="2" s="1"/>
  <c r="DZ30" i="2" s="1"/>
  <c r="DY22" i="2"/>
  <c r="DY23" i="2" s="1"/>
  <c r="DY24" i="2" s="1"/>
  <c r="DY25" i="2" s="1"/>
  <c r="DY26" i="2" s="1"/>
  <c r="DY27" i="2" s="1"/>
  <c r="DY28" i="2" s="1"/>
  <c r="DX22" i="2"/>
  <c r="DW22" i="2"/>
  <c r="DW23" i="2" s="1"/>
  <c r="DW24" i="2" s="1"/>
  <c r="DW25" i="2" s="1"/>
  <c r="DW26" i="2" s="1"/>
  <c r="DW27" i="2" s="1"/>
  <c r="DW28" i="2" s="1"/>
  <c r="DW29" i="2" s="1"/>
  <c r="DW30" i="2" s="1"/>
  <c r="DV22" i="2"/>
  <c r="DV23" i="2" s="1"/>
  <c r="DV24" i="2" s="1"/>
  <c r="DV25" i="2" s="1"/>
  <c r="DV26" i="2" s="1"/>
  <c r="DV27" i="2" s="1"/>
  <c r="DV28" i="2" s="1"/>
  <c r="DV29" i="2" s="1"/>
  <c r="DV30" i="2" s="1"/>
  <c r="DU22" i="2"/>
  <c r="DU23" i="2" s="1"/>
  <c r="DU24" i="2" s="1"/>
  <c r="DU25" i="2" s="1"/>
  <c r="DU26" i="2" s="1"/>
  <c r="DU27" i="2" s="1"/>
  <c r="DU28" i="2" s="1"/>
  <c r="DU29" i="2" s="1"/>
  <c r="DU30" i="2" s="1"/>
  <c r="DT22" i="2"/>
  <c r="DT23" i="2" s="1"/>
  <c r="DT24" i="2" s="1"/>
  <c r="DT25" i="2" s="1"/>
  <c r="DT26" i="2" s="1"/>
  <c r="DT27" i="2" s="1"/>
  <c r="DT28" i="2" s="1"/>
  <c r="DT29" i="2" s="1"/>
  <c r="DT30" i="2" s="1"/>
  <c r="DS22" i="2"/>
  <c r="DS23" i="2" s="1"/>
  <c r="DS24" i="2" s="1"/>
  <c r="DS25" i="2" s="1"/>
  <c r="DS26" i="2" s="1"/>
  <c r="DS27" i="2" s="1"/>
  <c r="DS28" i="2" s="1"/>
  <c r="DS29" i="2" s="1"/>
  <c r="DS30" i="2" s="1"/>
  <c r="DR22" i="2"/>
  <c r="DR23" i="2" s="1"/>
  <c r="DR24" i="2" s="1"/>
  <c r="DR25" i="2" s="1"/>
  <c r="DR26" i="2" s="1"/>
  <c r="DR27" i="2" s="1"/>
  <c r="DR28" i="2" s="1"/>
  <c r="DR29" i="2" s="1"/>
  <c r="DR30" i="2" s="1"/>
  <c r="DQ22" i="2"/>
  <c r="DQ23" i="2" s="1"/>
  <c r="DQ24" i="2" s="1"/>
  <c r="DQ25" i="2" s="1"/>
  <c r="DQ26" i="2" s="1"/>
  <c r="DQ27" i="2" s="1"/>
  <c r="DQ28" i="2" s="1"/>
  <c r="DQ29" i="2" s="1"/>
  <c r="DQ30" i="2" s="1"/>
  <c r="DP22" i="2"/>
  <c r="DP23" i="2" s="1"/>
  <c r="DP24" i="2" s="1"/>
  <c r="DP25" i="2" s="1"/>
  <c r="DP26" i="2" s="1"/>
  <c r="DP27" i="2" s="1"/>
  <c r="DP28" i="2" s="1"/>
  <c r="DP29" i="2" s="1"/>
  <c r="DP30" i="2" s="1"/>
  <c r="DO22" i="2"/>
  <c r="DO23" i="2" s="1"/>
  <c r="DO24" i="2" s="1"/>
  <c r="DO25" i="2" s="1"/>
  <c r="DO26" i="2" s="1"/>
  <c r="DO27" i="2" s="1"/>
  <c r="DO28" i="2" s="1"/>
  <c r="DO29" i="2" s="1"/>
  <c r="DO30" i="2" s="1"/>
  <c r="DN22" i="2"/>
  <c r="DN23" i="2" s="1"/>
  <c r="DN24" i="2" s="1"/>
  <c r="DN25" i="2" s="1"/>
  <c r="DN26" i="2" s="1"/>
  <c r="DN27" i="2" s="1"/>
  <c r="DN28" i="2" s="1"/>
  <c r="DN29" i="2" s="1"/>
  <c r="DN30" i="2" s="1"/>
  <c r="DM22" i="2"/>
  <c r="DM23" i="2" s="1"/>
  <c r="DM24" i="2" s="1"/>
  <c r="DM25" i="2" s="1"/>
  <c r="DM26" i="2" s="1"/>
  <c r="DM27" i="2" s="1"/>
  <c r="DM28" i="2" s="1"/>
  <c r="DM29" i="2" s="1"/>
  <c r="DM30" i="2" s="1"/>
  <c r="DL22" i="2"/>
  <c r="DL23" i="2" s="1"/>
  <c r="DL24" i="2" s="1"/>
  <c r="DL25" i="2" s="1"/>
  <c r="DL26" i="2" s="1"/>
  <c r="DL27" i="2" s="1"/>
  <c r="DL28" i="2" s="1"/>
  <c r="DL29" i="2" s="1"/>
  <c r="DL30" i="2" s="1"/>
  <c r="DK22" i="2"/>
  <c r="DK23" i="2" s="1"/>
  <c r="DK24" i="2" s="1"/>
  <c r="DK25" i="2" s="1"/>
  <c r="DK26" i="2" s="1"/>
  <c r="DK27" i="2" s="1"/>
  <c r="DK28" i="2" s="1"/>
  <c r="DK29" i="2" s="1"/>
  <c r="DK30" i="2" s="1"/>
  <c r="DJ22" i="2"/>
  <c r="DJ23" i="2" s="1"/>
  <c r="DJ24" i="2" s="1"/>
  <c r="DJ25" i="2" s="1"/>
  <c r="DJ26" i="2" s="1"/>
  <c r="DJ27" i="2" s="1"/>
  <c r="DJ28" i="2" s="1"/>
  <c r="DJ29" i="2" s="1"/>
  <c r="DJ30" i="2" s="1"/>
  <c r="DI22" i="2"/>
  <c r="DI23" i="2" s="1"/>
  <c r="DI24" i="2" s="1"/>
  <c r="DI25" i="2" s="1"/>
  <c r="DI26" i="2" s="1"/>
  <c r="DI27" i="2" s="1"/>
  <c r="DI28" i="2" s="1"/>
  <c r="DI29" i="2" s="1"/>
  <c r="DI30" i="2" s="1"/>
  <c r="DH22" i="2"/>
  <c r="DG22" i="2"/>
  <c r="DG23" i="2" s="1"/>
  <c r="DG24" i="2" s="1"/>
  <c r="DG25" i="2" s="1"/>
  <c r="DG26" i="2" s="1"/>
  <c r="DG27" i="2" s="1"/>
  <c r="DG28" i="2" s="1"/>
  <c r="DG29" i="2" s="1"/>
  <c r="DG30" i="2" s="1"/>
  <c r="DF22" i="2"/>
  <c r="DF23" i="2" s="1"/>
  <c r="DF24" i="2" s="1"/>
  <c r="DF25" i="2" s="1"/>
  <c r="DF26" i="2" s="1"/>
  <c r="DF27" i="2" s="1"/>
  <c r="DF28" i="2" s="1"/>
  <c r="DF29" i="2" s="1"/>
  <c r="DF30" i="2" s="1"/>
  <c r="DE22" i="2"/>
  <c r="DE23" i="2" s="1"/>
  <c r="DE24" i="2" s="1"/>
  <c r="DE25" i="2" s="1"/>
  <c r="DE26" i="2" s="1"/>
  <c r="DE27" i="2" s="1"/>
  <c r="DE28" i="2" s="1"/>
  <c r="DE29" i="2" s="1"/>
  <c r="DE30" i="2" s="1"/>
  <c r="DD22" i="2"/>
  <c r="DD23" i="2" s="1"/>
  <c r="DD24" i="2" s="1"/>
  <c r="DD25" i="2" s="1"/>
  <c r="DD26" i="2" s="1"/>
  <c r="DD27" i="2" s="1"/>
  <c r="DD28" i="2" s="1"/>
  <c r="DD29" i="2" s="1"/>
  <c r="DD30" i="2" s="1"/>
  <c r="DC22" i="2"/>
  <c r="DC23" i="2" s="1"/>
  <c r="DC24" i="2" s="1"/>
  <c r="DC25" i="2" s="1"/>
  <c r="DC26" i="2" s="1"/>
  <c r="DC27" i="2" s="1"/>
  <c r="DC28" i="2" s="1"/>
  <c r="DC29" i="2" s="1"/>
  <c r="DC30" i="2" s="1"/>
  <c r="DB22" i="2"/>
  <c r="DB23" i="2" s="1"/>
  <c r="DB24" i="2" s="1"/>
  <c r="DB25" i="2" s="1"/>
  <c r="DB26" i="2" s="1"/>
  <c r="DB27" i="2" s="1"/>
  <c r="DB28" i="2" s="1"/>
  <c r="DB29" i="2" s="1"/>
  <c r="DB30" i="2" s="1"/>
  <c r="DA22" i="2"/>
  <c r="DA23" i="2" s="1"/>
  <c r="DA24" i="2" s="1"/>
  <c r="DA25" i="2" s="1"/>
  <c r="DA26" i="2" s="1"/>
  <c r="DA27" i="2" s="1"/>
  <c r="DA28" i="2" s="1"/>
  <c r="DA29" i="2" s="1"/>
  <c r="DA30" i="2" s="1"/>
  <c r="CZ22" i="2"/>
  <c r="CZ23" i="2" s="1"/>
  <c r="CZ24" i="2" s="1"/>
  <c r="CZ25" i="2" s="1"/>
  <c r="CZ26" i="2" s="1"/>
  <c r="CZ27" i="2" s="1"/>
  <c r="CZ28" i="2" s="1"/>
  <c r="CZ29" i="2" s="1"/>
  <c r="CZ30" i="2" s="1"/>
  <c r="CY22" i="2"/>
  <c r="CY23" i="2" s="1"/>
  <c r="CY24" i="2" s="1"/>
  <c r="CY25" i="2" s="1"/>
  <c r="CY26" i="2" s="1"/>
  <c r="CX22" i="2"/>
  <c r="CX23" i="2" s="1"/>
  <c r="CX24" i="2" s="1"/>
  <c r="CX25" i="2" s="1"/>
  <c r="CX26" i="2" s="1"/>
  <c r="CX27" i="2" s="1"/>
  <c r="CX28" i="2" s="1"/>
  <c r="CX29" i="2" s="1"/>
  <c r="CX30" i="2" s="1"/>
  <c r="CW22" i="2"/>
  <c r="CW23" i="2" s="1"/>
  <c r="CW24" i="2" s="1"/>
  <c r="CW25" i="2" s="1"/>
  <c r="CW26" i="2" s="1"/>
  <c r="CW27" i="2" s="1"/>
  <c r="CW28" i="2" s="1"/>
  <c r="CW29" i="2" s="1"/>
  <c r="CW30" i="2" s="1"/>
  <c r="CV22" i="2"/>
  <c r="CV23" i="2" s="1"/>
  <c r="CV24" i="2" s="1"/>
  <c r="CV25" i="2" s="1"/>
  <c r="CV26" i="2" s="1"/>
  <c r="CV27" i="2" s="1"/>
  <c r="CV28" i="2" s="1"/>
  <c r="CV29" i="2" s="1"/>
  <c r="CV30" i="2" s="1"/>
  <c r="CU22" i="2"/>
  <c r="CU23" i="2" s="1"/>
  <c r="CU24" i="2" s="1"/>
  <c r="CU25" i="2" s="1"/>
  <c r="CU26" i="2" s="1"/>
  <c r="CU27" i="2" s="1"/>
  <c r="CU28" i="2" s="1"/>
  <c r="CU29" i="2" s="1"/>
  <c r="CU30" i="2" s="1"/>
  <c r="CT22" i="2"/>
  <c r="CT23" i="2" s="1"/>
  <c r="CT24" i="2" s="1"/>
  <c r="CT25" i="2" s="1"/>
  <c r="CT26" i="2" s="1"/>
  <c r="CT27" i="2" s="1"/>
  <c r="CT28" i="2" s="1"/>
  <c r="CT29" i="2" s="1"/>
  <c r="CT30" i="2" s="1"/>
  <c r="CS22" i="2"/>
  <c r="CS23" i="2" s="1"/>
  <c r="CS24" i="2" s="1"/>
  <c r="CS25" i="2" s="1"/>
  <c r="CS26" i="2" s="1"/>
  <c r="CS27" i="2" s="1"/>
  <c r="CS28" i="2" s="1"/>
  <c r="CS29" i="2" s="1"/>
  <c r="CS30" i="2" s="1"/>
  <c r="CR22" i="2"/>
  <c r="CQ22" i="2"/>
  <c r="CQ23" i="2" s="1"/>
  <c r="CQ24" i="2" s="1"/>
  <c r="CQ25" i="2" s="1"/>
  <c r="CQ26" i="2" s="1"/>
  <c r="CQ27" i="2" s="1"/>
  <c r="CQ28" i="2" s="1"/>
  <c r="CQ29" i="2" s="1"/>
  <c r="CQ30" i="2" s="1"/>
  <c r="CP22" i="2"/>
  <c r="CP23" i="2" s="1"/>
  <c r="CP24" i="2" s="1"/>
  <c r="CP25" i="2" s="1"/>
  <c r="CP26" i="2" s="1"/>
  <c r="CP27" i="2" s="1"/>
  <c r="CP28" i="2" s="1"/>
  <c r="CP29" i="2" s="1"/>
  <c r="CP30" i="2" s="1"/>
  <c r="CO22" i="2"/>
  <c r="CO23" i="2" s="1"/>
  <c r="CO24" i="2" s="1"/>
  <c r="CO25" i="2" s="1"/>
  <c r="CO26" i="2" s="1"/>
  <c r="CO27" i="2" s="1"/>
  <c r="CO28" i="2" s="1"/>
  <c r="CO29" i="2" s="1"/>
  <c r="CO30" i="2" s="1"/>
  <c r="CN22" i="2"/>
  <c r="CN23" i="2" s="1"/>
  <c r="CN24" i="2" s="1"/>
  <c r="CN25" i="2" s="1"/>
  <c r="CN26" i="2" s="1"/>
  <c r="CN27" i="2" s="1"/>
  <c r="CN28" i="2" s="1"/>
  <c r="CN29" i="2" s="1"/>
  <c r="CN30" i="2" s="1"/>
  <c r="CM22" i="2"/>
  <c r="CM23" i="2" s="1"/>
  <c r="CM24" i="2" s="1"/>
  <c r="CM25" i="2" s="1"/>
  <c r="CM26" i="2" s="1"/>
  <c r="CM27" i="2" s="1"/>
  <c r="CM28" i="2" s="1"/>
  <c r="CM29" i="2" s="1"/>
  <c r="CM30" i="2" s="1"/>
  <c r="CL22" i="2"/>
  <c r="CL23" i="2" s="1"/>
  <c r="CL24" i="2" s="1"/>
  <c r="CL25" i="2" s="1"/>
  <c r="CL26" i="2" s="1"/>
  <c r="CL27" i="2" s="1"/>
  <c r="CL28" i="2" s="1"/>
  <c r="CL29" i="2" s="1"/>
  <c r="CL30" i="2" s="1"/>
  <c r="CK22" i="2"/>
  <c r="CK23" i="2" s="1"/>
  <c r="CK24" i="2" s="1"/>
  <c r="CK25" i="2" s="1"/>
  <c r="CK26" i="2" s="1"/>
  <c r="CK27" i="2" s="1"/>
  <c r="CK28" i="2" s="1"/>
  <c r="CK29" i="2" s="1"/>
  <c r="CK30" i="2" s="1"/>
  <c r="CJ22" i="2"/>
  <c r="CJ23" i="2" s="1"/>
  <c r="CJ24" i="2" s="1"/>
  <c r="CJ25" i="2" s="1"/>
  <c r="CJ26" i="2" s="1"/>
  <c r="CJ27" i="2" s="1"/>
  <c r="CJ28" i="2" s="1"/>
  <c r="CJ29" i="2" s="1"/>
  <c r="CJ30" i="2" s="1"/>
  <c r="CI22" i="2"/>
  <c r="CI23" i="2" s="1"/>
  <c r="CI24" i="2" s="1"/>
  <c r="CI25" i="2" s="1"/>
  <c r="CI26" i="2" s="1"/>
  <c r="CI27" i="2" s="1"/>
  <c r="CI28" i="2" s="1"/>
  <c r="CI29" i="2" s="1"/>
  <c r="CI30" i="2" s="1"/>
  <c r="CH22" i="2"/>
  <c r="CH23" i="2" s="1"/>
  <c r="CH24" i="2" s="1"/>
  <c r="CH25" i="2" s="1"/>
  <c r="CH26" i="2" s="1"/>
  <c r="CH27" i="2" s="1"/>
  <c r="CH28" i="2" s="1"/>
  <c r="CH29" i="2" s="1"/>
  <c r="CH30" i="2" s="1"/>
  <c r="CG22" i="2"/>
  <c r="CG23" i="2" s="1"/>
  <c r="CG24" i="2" s="1"/>
  <c r="CG25" i="2" s="1"/>
  <c r="CG26" i="2" s="1"/>
  <c r="CG27" i="2" s="1"/>
  <c r="CG28" i="2" s="1"/>
  <c r="CG29" i="2" s="1"/>
  <c r="CG30" i="2" s="1"/>
  <c r="CF22" i="2"/>
  <c r="CF23" i="2" s="1"/>
  <c r="CF24" i="2" s="1"/>
  <c r="CF25" i="2" s="1"/>
  <c r="CF26" i="2" s="1"/>
  <c r="CF27" i="2" s="1"/>
  <c r="CF28" i="2" s="1"/>
  <c r="CF29" i="2" s="1"/>
  <c r="CF30" i="2" s="1"/>
  <c r="CE22" i="2"/>
  <c r="CE23" i="2" s="1"/>
  <c r="CE24" i="2" s="1"/>
  <c r="CE25" i="2" s="1"/>
  <c r="CE26" i="2" s="1"/>
  <c r="CE27" i="2" s="1"/>
  <c r="CE28" i="2" s="1"/>
  <c r="CE29" i="2" s="1"/>
  <c r="CE30" i="2" s="1"/>
  <c r="CD22" i="2"/>
  <c r="CD23" i="2" s="1"/>
  <c r="CD24" i="2" s="1"/>
  <c r="CD25" i="2" s="1"/>
  <c r="CD26" i="2" s="1"/>
  <c r="CD27" i="2" s="1"/>
  <c r="CD28" i="2" s="1"/>
  <c r="CD29" i="2" s="1"/>
  <c r="CD30" i="2" s="1"/>
  <c r="CC22" i="2"/>
  <c r="CC23" i="2" s="1"/>
  <c r="CC24" i="2" s="1"/>
  <c r="CC25" i="2" s="1"/>
  <c r="CC26" i="2" s="1"/>
  <c r="CC27" i="2" s="1"/>
  <c r="CC28" i="2" s="1"/>
  <c r="CC29" i="2" s="1"/>
  <c r="CC30" i="2" s="1"/>
  <c r="CB22" i="2"/>
  <c r="CA22" i="2"/>
  <c r="CA23" i="2" s="1"/>
  <c r="CA24" i="2" s="1"/>
  <c r="CA25" i="2" s="1"/>
  <c r="CA26" i="2" s="1"/>
  <c r="CA27" i="2" s="1"/>
  <c r="CA28" i="2" s="1"/>
  <c r="CA29" i="2" s="1"/>
  <c r="CA30" i="2" s="1"/>
  <c r="BZ22" i="2"/>
  <c r="BZ23" i="2" s="1"/>
  <c r="BZ24" i="2" s="1"/>
  <c r="BZ25" i="2" s="1"/>
  <c r="BZ26" i="2" s="1"/>
  <c r="BZ27" i="2" s="1"/>
  <c r="BZ28" i="2" s="1"/>
  <c r="BZ29" i="2" s="1"/>
  <c r="BZ30" i="2" s="1"/>
  <c r="BY22" i="2"/>
  <c r="BY23" i="2" s="1"/>
  <c r="BY24" i="2" s="1"/>
  <c r="BY25" i="2" s="1"/>
  <c r="BY26" i="2" s="1"/>
  <c r="BY27" i="2" s="1"/>
  <c r="BY28" i="2" s="1"/>
  <c r="BY29" i="2" s="1"/>
  <c r="BY30" i="2" s="1"/>
  <c r="BX22" i="2"/>
  <c r="BX23" i="2" s="1"/>
  <c r="BX24" i="2" s="1"/>
  <c r="BX25" i="2" s="1"/>
  <c r="BX26" i="2" s="1"/>
  <c r="BX27" i="2" s="1"/>
  <c r="BX28" i="2" s="1"/>
  <c r="BX29" i="2" s="1"/>
  <c r="BX30" i="2" s="1"/>
  <c r="BW22" i="2"/>
  <c r="BW23" i="2" s="1"/>
  <c r="BW24" i="2" s="1"/>
  <c r="BW25" i="2" s="1"/>
  <c r="BW26" i="2" s="1"/>
  <c r="BW27" i="2" s="1"/>
  <c r="BW28" i="2" s="1"/>
  <c r="BW29" i="2" s="1"/>
  <c r="BW30" i="2" s="1"/>
  <c r="BV22" i="2"/>
  <c r="BV23" i="2" s="1"/>
  <c r="BV24" i="2" s="1"/>
  <c r="BV25" i="2" s="1"/>
  <c r="BV26" i="2" s="1"/>
  <c r="BV27" i="2" s="1"/>
  <c r="BV28" i="2" s="1"/>
  <c r="BV29" i="2" s="1"/>
  <c r="BV30" i="2" s="1"/>
  <c r="BU22" i="2"/>
  <c r="BU23" i="2" s="1"/>
  <c r="BU24" i="2" s="1"/>
  <c r="BU25" i="2" s="1"/>
  <c r="BU26" i="2" s="1"/>
  <c r="BU27" i="2" s="1"/>
  <c r="BU28" i="2" s="1"/>
  <c r="BU29" i="2" s="1"/>
  <c r="BU30" i="2" s="1"/>
  <c r="BT22" i="2"/>
  <c r="BT23" i="2" s="1"/>
  <c r="BT24" i="2" s="1"/>
  <c r="BT25" i="2" s="1"/>
  <c r="BT26" i="2" s="1"/>
  <c r="BT27" i="2" s="1"/>
  <c r="BT28" i="2" s="1"/>
  <c r="BT29" i="2" s="1"/>
  <c r="BT30" i="2" s="1"/>
  <c r="BS22" i="2"/>
  <c r="BS23" i="2" s="1"/>
  <c r="BS24" i="2" s="1"/>
  <c r="BS25" i="2" s="1"/>
  <c r="BS26" i="2" s="1"/>
  <c r="BR22" i="2"/>
  <c r="BR23" i="2" s="1"/>
  <c r="BR24" i="2" s="1"/>
  <c r="BR25" i="2" s="1"/>
  <c r="BR26" i="2" s="1"/>
  <c r="BR27" i="2" s="1"/>
  <c r="BR28" i="2" s="1"/>
  <c r="BR29" i="2" s="1"/>
  <c r="BR30" i="2" s="1"/>
  <c r="BQ22" i="2"/>
  <c r="BQ23" i="2" s="1"/>
  <c r="BQ24" i="2" s="1"/>
  <c r="BQ25" i="2" s="1"/>
  <c r="BQ26" i="2" s="1"/>
  <c r="BQ27" i="2" s="1"/>
  <c r="BP22" i="2"/>
  <c r="BP23" i="2" s="1"/>
  <c r="BP24" i="2" s="1"/>
  <c r="BP25" i="2" s="1"/>
  <c r="BP26" i="2" s="1"/>
  <c r="BP27" i="2" s="1"/>
  <c r="BP28" i="2" s="1"/>
  <c r="BP29" i="2" s="1"/>
  <c r="BP30" i="2" s="1"/>
  <c r="BO22" i="2"/>
  <c r="BO23" i="2" s="1"/>
  <c r="BO24" i="2" s="1"/>
  <c r="BO25" i="2" s="1"/>
  <c r="BO26" i="2" s="1"/>
  <c r="BO27" i="2" s="1"/>
  <c r="BO28" i="2" s="1"/>
  <c r="BO29" i="2" s="1"/>
  <c r="BO30" i="2" s="1"/>
  <c r="BN22" i="2"/>
  <c r="BN23" i="2" s="1"/>
  <c r="BN24" i="2" s="1"/>
  <c r="BN25" i="2" s="1"/>
  <c r="BN26" i="2" s="1"/>
  <c r="BN27" i="2" s="1"/>
  <c r="BN28" i="2" s="1"/>
  <c r="BN29" i="2" s="1"/>
  <c r="BN30" i="2" s="1"/>
  <c r="BM22" i="2"/>
  <c r="BM23" i="2" s="1"/>
  <c r="BM24" i="2" s="1"/>
  <c r="BM25" i="2" s="1"/>
  <c r="BM26" i="2" s="1"/>
  <c r="BM27" i="2" s="1"/>
  <c r="BM28" i="2" s="1"/>
  <c r="BM29" i="2" s="1"/>
  <c r="BM30" i="2" s="1"/>
  <c r="BL22" i="2"/>
  <c r="BK22" i="2"/>
  <c r="BK23" i="2" s="1"/>
  <c r="BK24" i="2" s="1"/>
  <c r="BK25" i="2" s="1"/>
  <c r="BK26" i="2" s="1"/>
  <c r="BK27" i="2" s="1"/>
  <c r="BK28" i="2" s="1"/>
  <c r="BK29" i="2" s="1"/>
  <c r="BK30" i="2" s="1"/>
  <c r="BJ22" i="2"/>
  <c r="BJ23" i="2" s="1"/>
  <c r="BJ24" i="2" s="1"/>
  <c r="BJ25" i="2" s="1"/>
  <c r="BJ26" i="2" s="1"/>
  <c r="BJ27" i="2" s="1"/>
  <c r="BJ28" i="2" s="1"/>
  <c r="BJ29" i="2" s="1"/>
  <c r="BJ30" i="2" s="1"/>
  <c r="BI22" i="2"/>
  <c r="BI23" i="2" s="1"/>
  <c r="BI24" i="2" s="1"/>
  <c r="BI25" i="2" s="1"/>
  <c r="BI26" i="2" s="1"/>
  <c r="BI27" i="2" s="1"/>
  <c r="BI28" i="2" s="1"/>
  <c r="BI29" i="2" s="1"/>
  <c r="BI30" i="2" s="1"/>
  <c r="BH22" i="2"/>
  <c r="BH23" i="2" s="1"/>
  <c r="BH24" i="2" s="1"/>
  <c r="BH25" i="2" s="1"/>
  <c r="BH26" i="2" s="1"/>
  <c r="BH27" i="2" s="1"/>
  <c r="BH28" i="2" s="1"/>
  <c r="BH29" i="2" s="1"/>
  <c r="BH30" i="2" s="1"/>
  <c r="BG22" i="2"/>
  <c r="BG23" i="2" s="1"/>
  <c r="BG24" i="2" s="1"/>
  <c r="BG25" i="2" s="1"/>
  <c r="BG26" i="2" s="1"/>
  <c r="BG27" i="2" s="1"/>
  <c r="BG28" i="2" s="1"/>
  <c r="BG29" i="2" s="1"/>
  <c r="BG30" i="2" s="1"/>
  <c r="BF22" i="2"/>
  <c r="BF23" i="2" s="1"/>
  <c r="BF24" i="2" s="1"/>
  <c r="BF25" i="2" s="1"/>
  <c r="BF26" i="2" s="1"/>
  <c r="BF27" i="2" s="1"/>
  <c r="BF28" i="2" s="1"/>
  <c r="BF29" i="2" s="1"/>
  <c r="BF30" i="2" s="1"/>
  <c r="BE22" i="2"/>
  <c r="BE23" i="2" s="1"/>
  <c r="BE24" i="2" s="1"/>
  <c r="BE25" i="2" s="1"/>
  <c r="BE26" i="2" s="1"/>
  <c r="BE27" i="2" s="1"/>
  <c r="BE28" i="2" s="1"/>
  <c r="BE29" i="2" s="1"/>
  <c r="BE30" i="2" s="1"/>
  <c r="BD22" i="2"/>
  <c r="BD23" i="2" s="1"/>
  <c r="BD24" i="2" s="1"/>
  <c r="BD25" i="2" s="1"/>
  <c r="BD26" i="2" s="1"/>
  <c r="BD27" i="2" s="1"/>
  <c r="BD28" i="2" s="1"/>
  <c r="BD29" i="2" s="1"/>
  <c r="BD30" i="2" s="1"/>
  <c r="BC22" i="2"/>
  <c r="BC23" i="2" s="1"/>
  <c r="BC24" i="2" s="1"/>
  <c r="BC25" i="2" s="1"/>
  <c r="BC26" i="2" s="1"/>
  <c r="BC27" i="2" s="1"/>
  <c r="BC28" i="2" s="1"/>
  <c r="BC29" i="2" s="1"/>
  <c r="BC30" i="2" s="1"/>
  <c r="BB22" i="2"/>
  <c r="BB23" i="2" s="1"/>
  <c r="BB24" i="2" s="1"/>
  <c r="BB25" i="2" s="1"/>
  <c r="BB26" i="2" s="1"/>
  <c r="BB27" i="2" s="1"/>
  <c r="BB28" i="2" s="1"/>
  <c r="BB29" i="2" s="1"/>
  <c r="BB30" i="2" s="1"/>
  <c r="BA22" i="2"/>
  <c r="BA23" i="2" s="1"/>
  <c r="BA24" i="2" s="1"/>
  <c r="BA25" i="2" s="1"/>
  <c r="BA26" i="2" s="1"/>
  <c r="BA27" i="2" s="1"/>
  <c r="BA28" i="2" s="1"/>
  <c r="BA29" i="2" s="1"/>
  <c r="BA30" i="2" s="1"/>
  <c r="AZ22" i="2"/>
  <c r="AZ23" i="2" s="1"/>
  <c r="AZ24" i="2" s="1"/>
  <c r="AZ25" i="2" s="1"/>
  <c r="AZ26" i="2" s="1"/>
  <c r="AZ27" i="2" s="1"/>
  <c r="AZ28" i="2" s="1"/>
  <c r="AZ29" i="2" s="1"/>
  <c r="AZ30" i="2" s="1"/>
  <c r="AY22" i="2"/>
  <c r="AY23" i="2" s="1"/>
  <c r="AY24" i="2" s="1"/>
  <c r="AY25" i="2" s="1"/>
  <c r="AY26" i="2" s="1"/>
  <c r="AY27" i="2" s="1"/>
  <c r="AY28" i="2" s="1"/>
  <c r="AY29" i="2" s="1"/>
  <c r="AY30" i="2" s="1"/>
  <c r="AX22" i="2"/>
  <c r="AX23" i="2" s="1"/>
  <c r="AX24" i="2" s="1"/>
  <c r="AX25" i="2" s="1"/>
  <c r="AX26" i="2" s="1"/>
  <c r="AX27" i="2" s="1"/>
  <c r="AX28" i="2" s="1"/>
  <c r="AX29" i="2" s="1"/>
  <c r="AX30" i="2" s="1"/>
  <c r="AW22" i="2"/>
  <c r="AW23" i="2" s="1"/>
  <c r="AW24" i="2" s="1"/>
  <c r="AW25" i="2" s="1"/>
  <c r="AW26" i="2" s="1"/>
  <c r="AW27" i="2" s="1"/>
  <c r="AW28" i="2" s="1"/>
  <c r="AW29" i="2" s="1"/>
  <c r="AW30" i="2" s="1"/>
  <c r="AV22" i="2"/>
  <c r="AU22" i="2"/>
  <c r="AU23" i="2" s="1"/>
  <c r="AU24" i="2" s="1"/>
  <c r="AU25" i="2" s="1"/>
  <c r="AU26" i="2" s="1"/>
  <c r="AU27" i="2" s="1"/>
  <c r="AU28" i="2" s="1"/>
  <c r="AU29" i="2" s="1"/>
  <c r="AU30" i="2" s="1"/>
  <c r="AT22" i="2"/>
  <c r="AT23" i="2" s="1"/>
  <c r="AT24" i="2" s="1"/>
  <c r="AT25" i="2" s="1"/>
  <c r="AT26" i="2" s="1"/>
  <c r="AT27" i="2" s="1"/>
  <c r="AT28" i="2" s="1"/>
  <c r="AT29" i="2" s="1"/>
  <c r="AT30" i="2" s="1"/>
  <c r="AS22" i="2"/>
  <c r="AS23" i="2" s="1"/>
  <c r="AS24" i="2" s="1"/>
  <c r="AS25" i="2" s="1"/>
  <c r="AS26" i="2" s="1"/>
  <c r="AS27" i="2" s="1"/>
  <c r="AS28" i="2" s="1"/>
  <c r="AS29" i="2" s="1"/>
  <c r="AS30" i="2" s="1"/>
  <c r="AR22" i="2"/>
  <c r="AR23" i="2" s="1"/>
  <c r="AR24" i="2" s="1"/>
  <c r="AR25" i="2" s="1"/>
  <c r="AR26" i="2" s="1"/>
  <c r="AR27" i="2" s="1"/>
  <c r="AR28" i="2" s="1"/>
  <c r="AR29" i="2" s="1"/>
  <c r="AR30" i="2" s="1"/>
  <c r="AQ22" i="2"/>
  <c r="AQ23" i="2" s="1"/>
  <c r="AQ24" i="2" s="1"/>
  <c r="AQ25" i="2" s="1"/>
  <c r="AQ26" i="2" s="1"/>
  <c r="AQ27" i="2" s="1"/>
  <c r="AQ28" i="2" s="1"/>
  <c r="AQ29" i="2" s="1"/>
  <c r="AQ30" i="2" s="1"/>
  <c r="AP22" i="2"/>
  <c r="AP23" i="2" s="1"/>
  <c r="AP24" i="2" s="1"/>
  <c r="AP25" i="2" s="1"/>
  <c r="AP26" i="2" s="1"/>
  <c r="AP27" i="2" s="1"/>
  <c r="AP28" i="2" s="1"/>
  <c r="AP29" i="2" s="1"/>
  <c r="AP30" i="2" s="1"/>
  <c r="AO22" i="2"/>
  <c r="AO23" i="2" s="1"/>
  <c r="AO24" i="2" s="1"/>
  <c r="AO25" i="2" s="1"/>
  <c r="AO26" i="2" s="1"/>
  <c r="AO27" i="2" s="1"/>
  <c r="AO28" i="2" s="1"/>
  <c r="AO29" i="2" s="1"/>
  <c r="AO30" i="2" s="1"/>
  <c r="AN22" i="2"/>
  <c r="AN23" i="2" s="1"/>
  <c r="AN24" i="2" s="1"/>
  <c r="AN25" i="2" s="1"/>
  <c r="AN26" i="2" s="1"/>
  <c r="AN27" i="2" s="1"/>
  <c r="AN28" i="2" s="1"/>
  <c r="AN29" i="2" s="1"/>
  <c r="AN30" i="2" s="1"/>
  <c r="AM22" i="2"/>
  <c r="AM23" i="2" s="1"/>
  <c r="AM24" i="2" s="1"/>
  <c r="AM25" i="2" s="1"/>
  <c r="AM26" i="2" s="1"/>
  <c r="AL22" i="2"/>
  <c r="AL23" i="2" s="1"/>
  <c r="AL24" i="2" s="1"/>
  <c r="AL25" i="2" s="1"/>
  <c r="AL26" i="2" s="1"/>
  <c r="AL27" i="2" s="1"/>
  <c r="AL28" i="2" s="1"/>
  <c r="AL29" i="2" s="1"/>
  <c r="AL30" i="2" s="1"/>
  <c r="AK22" i="2"/>
  <c r="AK23" i="2" s="1"/>
  <c r="AK24" i="2" s="1"/>
  <c r="AK25" i="2" s="1"/>
  <c r="AK26" i="2" s="1"/>
  <c r="AK27" i="2" s="1"/>
  <c r="AK28" i="2" s="1"/>
  <c r="AK29" i="2" s="1"/>
  <c r="AK30" i="2" s="1"/>
  <c r="AJ22" i="2"/>
  <c r="AJ23" i="2" s="1"/>
  <c r="AJ24" i="2" s="1"/>
  <c r="AJ25" i="2" s="1"/>
  <c r="AJ26" i="2" s="1"/>
  <c r="AJ27" i="2" s="1"/>
  <c r="AJ28" i="2" s="1"/>
  <c r="AJ29" i="2" s="1"/>
  <c r="AJ30" i="2" s="1"/>
  <c r="AI22" i="2"/>
  <c r="AI23" i="2" s="1"/>
  <c r="AI24" i="2" s="1"/>
  <c r="AI25" i="2" s="1"/>
  <c r="AI26" i="2" s="1"/>
  <c r="AI27" i="2" s="1"/>
  <c r="AH22" i="2"/>
  <c r="AH23" i="2" s="1"/>
  <c r="AH24" i="2" s="1"/>
  <c r="AH25" i="2" s="1"/>
  <c r="AH26" i="2" s="1"/>
  <c r="AH27" i="2" s="1"/>
  <c r="AH28" i="2" s="1"/>
  <c r="AH29" i="2" s="1"/>
  <c r="AH30" i="2" s="1"/>
  <c r="AG22" i="2"/>
  <c r="AG23" i="2" s="1"/>
  <c r="AG24" i="2" s="1"/>
  <c r="AG25" i="2" s="1"/>
  <c r="AG26" i="2" s="1"/>
  <c r="AG27" i="2" s="1"/>
  <c r="AG28" i="2" s="1"/>
  <c r="AG29" i="2" s="1"/>
  <c r="AG30" i="2" s="1"/>
  <c r="AF22" i="2"/>
  <c r="AE22" i="2"/>
  <c r="AE23" i="2" s="1"/>
  <c r="AE24" i="2" s="1"/>
  <c r="AE25" i="2" s="1"/>
  <c r="AE26" i="2" s="1"/>
  <c r="AE27" i="2" s="1"/>
  <c r="AE28" i="2" s="1"/>
  <c r="AE29" i="2" s="1"/>
  <c r="AE30" i="2" s="1"/>
  <c r="AD22" i="2"/>
  <c r="AD23" i="2" s="1"/>
  <c r="AD24" i="2" s="1"/>
  <c r="AD25" i="2" s="1"/>
  <c r="AD26" i="2" s="1"/>
  <c r="AD27" i="2" s="1"/>
  <c r="AD28" i="2" s="1"/>
  <c r="AD29" i="2" s="1"/>
  <c r="AD30" i="2" s="1"/>
  <c r="AC22" i="2"/>
  <c r="AC23" i="2" s="1"/>
  <c r="AC24" i="2" s="1"/>
  <c r="AC25" i="2" s="1"/>
  <c r="AC26" i="2" s="1"/>
  <c r="AC27" i="2" s="1"/>
  <c r="AC28" i="2" s="1"/>
  <c r="AC29" i="2" s="1"/>
  <c r="AC30" i="2" s="1"/>
  <c r="AB22" i="2"/>
  <c r="AB23" i="2" s="1"/>
  <c r="AB24" i="2" s="1"/>
  <c r="AB25" i="2" s="1"/>
  <c r="AB26" i="2" s="1"/>
  <c r="AB27" i="2" s="1"/>
  <c r="AB28" i="2" s="1"/>
  <c r="AB29" i="2" s="1"/>
  <c r="AB30" i="2" s="1"/>
  <c r="AA22" i="2"/>
  <c r="AA23" i="2" s="1"/>
  <c r="AA24" i="2" s="1"/>
  <c r="AA25" i="2" s="1"/>
  <c r="AA26" i="2" s="1"/>
  <c r="AA27" i="2" s="1"/>
  <c r="AA28" i="2" s="1"/>
  <c r="AA29" i="2" s="1"/>
  <c r="AA30" i="2" s="1"/>
  <c r="Z22" i="2"/>
  <c r="Z23" i="2" s="1"/>
  <c r="Z24" i="2" s="1"/>
  <c r="Z25" i="2" s="1"/>
  <c r="Z26" i="2" s="1"/>
  <c r="Z27" i="2" s="1"/>
  <c r="Z28" i="2" s="1"/>
  <c r="Z29" i="2" s="1"/>
  <c r="Z30" i="2" s="1"/>
  <c r="Y22" i="2"/>
  <c r="Y23" i="2" s="1"/>
  <c r="Y24" i="2" s="1"/>
  <c r="Y25" i="2" s="1"/>
  <c r="Y26" i="2" s="1"/>
  <c r="Y27" i="2" s="1"/>
  <c r="Y28" i="2" s="1"/>
  <c r="Y29" i="2" s="1"/>
  <c r="Y30" i="2" s="1"/>
  <c r="X22" i="2"/>
  <c r="X23" i="2" s="1"/>
  <c r="X24" i="2" s="1"/>
  <c r="X25" i="2" s="1"/>
  <c r="X26" i="2" s="1"/>
  <c r="X27" i="2" s="1"/>
  <c r="X28" i="2" s="1"/>
  <c r="X29" i="2" s="1"/>
  <c r="X30" i="2" s="1"/>
  <c r="W22" i="2"/>
  <c r="W23" i="2" s="1"/>
  <c r="W24" i="2" s="1"/>
  <c r="W25" i="2" s="1"/>
  <c r="W26" i="2" s="1"/>
  <c r="W27" i="2" s="1"/>
  <c r="W28" i="2" s="1"/>
  <c r="W29" i="2" s="1"/>
  <c r="W30" i="2" s="1"/>
  <c r="V22" i="2"/>
  <c r="V23" i="2" s="1"/>
  <c r="V24" i="2" s="1"/>
  <c r="V25" i="2" s="1"/>
  <c r="V26" i="2" s="1"/>
  <c r="V27" i="2" s="1"/>
  <c r="V28" i="2" s="1"/>
  <c r="V29" i="2" s="1"/>
  <c r="V30" i="2" s="1"/>
  <c r="U22" i="2"/>
  <c r="U23" i="2" s="1"/>
  <c r="U24" i="2" s="1"/>
  <c r="U25" i="2" s="1"/>
  <c r="U26" i="2" s="1"/>
  <c r="U27" i="2" s="1"/>
  <c r="U28" i="2" s="1"/>
  <c r="U29" i="2" s="1"/>
  <c r="U30" i="2" s="1"/>
  <c r="T22" i="2"/>
  <c r="T23" i="2" s="1"/>
  <c r="T24" i="2" s="1"/>
  <c r="T25" i="2" s="1"/>
  <c r="T26" i="2" s="1"/>
  <c r="T27" i="2" s="1"/>
  <c r="T28" i="2" s="1"/>
  <c r="T29" i="2" s="1"/>
  <c r="T30" i="2" s="1"/>
  <c r="S22" i="2"/>
  <c r="S23" i="2" s="1"/>
  <c r="S24" i="2" s="1"/>
  <c r="S25" i="2" s="1"/>
  <c r="S26" i="2" s="1"/>
  <c r="S27" i="2" s="1"/>
  <c r="S28" i="2" s="1"/>
  <c r="S29" i="2" s="1"/>
  <c r="S30" i="2" s="1"/>
  <c r="R22" i="2"/>
  <c r="R23" i="2" s="1"/>
  <c r="R24" i="2" s="1"/>
  <c r="R25" i="2" s="1"/>
  <c r="R26" i="2" s="1"/>
  <c r="R27" i="2" s="1"/>
  <c r="R28" i="2" s="1"/>
  <c r="R29" i="2" s="1"/>
  <c r="R30" i="2" s="1"/>
  <c r="Q22" i="2"/>
  <c r="Q23" i="2" s="1"/>
  <c r="Q24" i="2" s="1"/>
  <c r="Q25" i="2" s="1"/>
  <c r="Q26" i="2" s="1"/>
  <c r="Q27" i="2" s="1"/>
  <c r="Q28" i="2" s="1"/>
  <c r="Q29" i="2" s="1"/>
  <c r="Q30" i="2" s="1"/>
  <c r="P22" i="2"/>
  <c r="P23" i="2" s="1"/>
  <c r="P24" i="2" s="1"/>
  <c r="P25" i="2" s="1"/>
  <c r="P26" i="2" s="1"/>
  <c r="P27" i="2" s="1"/>
  <c r="P28" i="2" s="1"/>
  <c r="P29" i="2" s="1"/>
  <c r="P30" i="2" s="1"/>
  <c r="O22" i="2"/>
  <c r="O23" i="2" s="1"/>
  <c r="O24" i="2" s="1"/>
  <c r="O25" i="2" s="1"/>
  <c r="O26" i="2" s="1"/>
  <c r="O27" i="2" s="1"/>
  <c r="O28" i="2" s="1"/>
  <c r="O29" i="2" s="1"/>
  <c r="O30" i="2" s="1"/>
  <c r="N22" i="2"/>
  <c r="N23" i="2" s="1"/>
  <c r="N24" i="2" s="1"/>
  <c r="N25" i="2" s="1"/>
  <c r="N26" i="2" s="1"/>
  <c r="N27" i="2" s="1"/>
  <c r="N28" i="2" s="1"/>
  <c r="N29" i="2" s="1"/>
  <c r="N30" i="2" s="1"/>
  <c r="M22" i="2"/>
  <c r="M23" i="2" s="1"/>
  <c r="M24" i="2" s="1"/>
  <c r="M25" i="2" s="1"/>
  <c r="M26" i="2" s="1"/>
  <c r="M27" i="2" s="1"/>
  <c r="M28" i="2" s="1"/>
  <c r="M29" i="2" s="1"/>
  <c r="M30" i="2" s="1"/>
  <c r="L22" i="2"/>
  <c r="L23" i="2" s="1"/>
  <c r="L24" i="2" s="1"/>
  <c r="L25" i="2" s="1"/>
  <c r="L26" i="2" s="1"/>
  <c r="L27" i="2" s="1"/>
  <c r="L28" i="2" s="1"/>
  <c r="L29" i="2" s="1"/>
  <c r="L30" i="2" s="1"/>
  <c r="K22" i="2"/>
  <c r="K23" i="2" s="1"/>
  <c r="K24" i="2" s="1"/>
  <c r="K25" i="2" s="1"/>
  <c r="K26" i="2" s="1"/>
  <c r="K27" i="2" s="1"/>
  <c r="K28" i="2" s="1"/>
  <c r="K29" i="2" s="1"/>
  <c r="K30" i="2" s="1"/>
  <c r="J22" i="2"/>
  <c r="J23" i="2" s="1"/>
  <c r="J24" i="2" s="1"/>
  <c r="J25" i="2" s="1"/>
  <c r="J26" i="2" s="1"/>
  <c r="J27" i="2" s="1"/>
  <c r="J28" i="2" s="1"/>
  <c r="J29" i="2" s="1"/>
  <c r="J30" i="2" s="1"/>
  <c r="I22" i="2"/>
  <c r="I23" i="2" s="1"/>
  <c r="I24" i="2" s="1"/>
  <c r="I25" i="2" s="1"/>
  <c r="I26" i="2" s="1"/>
  <c r="I27" i="2" s="1"/>
  <c r="I28" i="2" s="1"/>
  <c r="I29" i="2" s="1"/>
  <c r="I30" i="2" s="1"/>
  <c r="H22" i="2"/>
  <c r="H23" i="2" s="1"/>
  <c r="H24" i="2" s="1"/>
  <c r="H25" i="2" s="1"/>
  <c r="H26" i="2" s="1"/>
  <c r="H27" i="2" s="1"/>
  <c r="H28" i="2" s="1"/>
  <c r="H29" i="2" s="1"/>
  <c r="H30" i="2" s="1"/>
  <c r="G22" i="2"/>
  <c r="G23" i="2" s="1"/>
  <c r="G24" i="2" s="1"/>
  <c r="G25" i="2" s="1"/>
  <c r="G26" i="2" s="1"/>
  <c r="G27" i="2" s="1"/>
  <c r="G28" i="2" s="1"/>
  <c r="G29" i="2" s="1"/>
  <c r="G30" i="2" s="1"/>
  <c r="F22" i="2"/>
  <c r="F23" i="2" s="1"/>
  <c r="F24" i="2" s="1"/>
  <c r="F25" i="2" s="1"/>
  <c r="F26" i="2" s="1"/>
  <c r="F27" i="2" s="1"/>
  <c r="F28" i="2" s="1"/>
  <c r="F29" i="2" s="1"/>
  <c r="F30" i="2" s="1"/>
  <c r="E22" i="2"/>
  <c r="E23" i="2" s="1"/>
  <c r="E24" i="2" s="1"/>
  <c r="E25" i="2" s="1"/>
  <c r="E26" i="2" s="1"/>
  <c r="E27" i="2" s="1"/>
  <c r="E28" i="2" s="1"/>
  <c r="E29" i="2" s="1"/>
  <c r="E30" i="2" s="1"/>
  <c r="D30" i="2"/>
  <c r="D29" i="2"/>
  <c r="D28" i="2"/>
  <c r="D27" i="2"/>
  <c r="D26" i="2"/>
  <c r="D25" i="2"/>
  <c r="D24" i="2"/>
  <c r="D23" i="2"/>
  <c r="D22" i="2"/>
</calcChain>
</file>

<file path=xl/sharedStrings.xml><?xml version="1.0" encoding="utf-8"?>
<sst xmlns="http://schemas.openxmlformats.org/spreadsheetml/2006/main" count="183" uniqueCount="183">
  <si>
    <t>SUDESTE</t>
  </si>
  <si>
    <t>SUL</t>
  </si>
  <si>
    <t>NORDESTE</t>
  </si>
  <si>
    <t>NORTE</t>
  </si>
  <si>
    <t>CENTRO OESTE</t>
  </si>
  <si>
    <t>GEOCOM</t>
  </si>
  <si>
    <t>SP-CAP1</t>
  </si>
  <si>
    <t>SP-INT1</t>
  </si>
  <si>
    <t>SP-INT2</t>
  </si>
  <si>
    <t>SP-INT3</t>
  </si>
  <si>
    <t>SP-INT4</t>
  </si>
  <si>
    <t>SP-RED</t>
  </si>
  <si>
    <t>RJ-CAP</t>
  </si>
  <si>
    <t>RJ-INT1</t>
  </si>
  <si>
    <t>RJ-INT2</t>
  </si>
  <si>
    <t>RJ-INT3</t>
  </si>
  <si>
    <t>RJ-INT4</t>
  </si>
  <si>
    <t>RJ-RED</t>
  </si>
  <si>
    <t>ES-CAP</t>
  </si>
  <si>
    <t>ES-INT1</t>
  </si>
  <si>
    <t>ES-INT2</t>
  </si>
  <si>
    <t>ES-INT3</t>
  </si>
  <si>
    <t>ES-INT4</t>
  </si>
  <si>
    <t>ES-RED</t>
  </si>
  <si>
    <t>MG-CAP</t>
  </si>
  <si>
    <t>MG-INT1</t>
  </si>
  <si>
    <t>MG-INT2</t>
  </si>
  <si>
    <t>MG-INT3</t>
  </si>
  <si>
    <t>MG-INT4</t>
  </si>
  <si>
    <t>MG-RED</t>
  </si>
  <si>
    <t>PR-CAP</t>
  </si>
  <si>
    <t>PR-INT1</t>
  </si>
  <si>
    <t>PR-INT2</t>
  </si>
  <si>
    <t>PR-INT3</t>
  </si>
  <si>
    <t>PR-INT4</t>
  </si>
  <si>
    <t>PR-RED</t>
  </si>
  <si>
    <t>SC-CAP</t>
  </si>
  <si>
    <t>SC-INT1</t>
  </si>
  <si>
    <t>SC-INT2</t>
  </si>
  <si>
    <t>SC-INT3</t>
  </si>
  <si>
    <t>SC-INT4</t>
  </si>
  <si>
    <t>SC-RED</t>
  </si>
  <si>
    <t>RS-CAP</t>
  </si>
  <si>
    <t>RS-INT1</t>
  </si>
  <si>
    <t>RS-INT2</t>
  </si>
  <si>
    <t>RS-INT3</t>
  </si>
  <si>
    <t>RS-INT4</t>
  </si>
  <si>
    <t>RS-RED</t>
  </si>
  <si>
    <t>BA-CAP</t>
  </si>
  <si>
    <t>BA-INT1</t>
  </si>
  <si>
    <t>BA-INT2</t>
  </si>
  <si>
    <t>BA-INT3</t>
  </si>
  <si>
    <t>BA-INT4</t>
  </si>
  <si>
    <t>BA-RED</t>
  </si>
  <si>
    <t>SE-CAP</t>
  </si>
  <si>
    <t>SE-INT1</t>
  </si>
  <si>
    <t>SE-INT2</t>
  </si>
  <si>
    <t>SE-INT3</t>
  </si>
  <si>
    <t>SE-INT4</t>
  </si>
  <si>
    <t>SE-RED</t>
  </si>
  <si>
    <t>PE-CAP</t>
  </si>
  <si>
    <t>PE-INT1</t>
  </si>
  <si>
    <t>PE-INT2</t>
  </si>
  <si>
    <t>PE-INT3</t>
  </si>
  <si>
    <t>PE-INT4</t>
  </si>
  <si>
    <t>PE-RED</t>
  </si>
  <si>
    <t>AL-CAP</t>
  </si>
  <si>
    <t>AL-INT1</t>
  </si>
  <si>
    <t>AL-INT2</t>
  </si>
  <si>
    <t>AL-INT3</t>
  </si>
  <si>
    <t>AL-INT4</t>
  </si>
  <si>
    <t>AL-RED</t>
  </si>
  <si>
    <t>PB-CAP1</t>
  </si>
  <si>
    <t>PB-INT1</t>
  </si>
  <si>
    <t>PB-INT2</t>
  </si>
  <si>
    <t>PB-INT3</t>
  </si>
  <si>
    <t>PB-INT4</t>
  </si>
  <si>
    <t>PB-RED</t>
  </si>
  <si>
    <t>RN-CAP</t>
  </si>
  <si>
    <t>RN-INT1</t>
  </si>
  <si>
    <t>RN-INT2</t>
  </si>
  <si>
    <t>RN-INT3</t>
  </si>
  <si>
    <t>RN-INT4</t>
  </si>
  <si>
    <t>RN-RED</t>
  </si>
  <si>
    <t>CE-CAP</t>
  </si>
  <si>
    <t>CE-INT1</t>
  </si>
  <si>
    <t>CE-INT2</t>
  </si>
  <si>
    <t>CE-INT3</t>
  </si>
  <si>
    <t>CE-INT4</t>
  </si>
  <si>
    <t>CE-RED</t>
  </si>
  <si>
    <t>PI-CAP</t>
  </si>
  <si>
    <t>PI-INT1</t>
  </si>
  <si>
    <t>PI-INT2</t>
  </si>
  <si>
    <t>PI-INT3</t>
  </si>
  <si>
    <t>PI-INT4</t>
  </si>
  <si>
    <t>PI-RED</t>
  </si>
  <si>
    <t>MA-CAP</t>
  </si>
  <si>
    <t>MA-INT1</t>
  </si>
  <si>
    <t>MA-INT2</t>
  </si>
  <si>
    <t>MA-INT3</t>
  </si>
  <si>
    <t>MA-INT4</t>
  </si>
  <si>
    <t>MA-RED</t>
  </si>
  <si>
    <t>PA-CAP</t>
  </si>
  <si>
    <t>PA-INT1</t>
  </si>
  <si>
    <t>PA-INT2</t>
  </si>
  <si>
    <t>PA-INT3</t>
  </si>
  <si>
    <t>PA-INT4</t>
  </si>
  <si>
    <t>PA-RED</t>
  </si>
  <si>
    <t>AP-CAP</t>
  </si>
  <si>
    <t>AP-INT1</t>
  </si>
  <si>
    <t>AP-INT2</t>
  </si>
  <si>
    <t>AP-INT3</t>
  </si>
  <si>
    <t>AP-INT4</t>
  </si>
  <si>
    <t>AP-RED</t>
  </si>
  <si>
    <t>AM-CAP</t>
  </si>
  <si>
    <t>AM-INT1</t>
  </si>
  <si>
    <t>AM-INT2</t>
  </si>
  <si>
    <t>AM-INT3</t>
  </si>
  <si>
    <t>AM-INT4</t>
  </si>
  <si>
    <t>AM-RED</t>
  </si>
  <si>
    <t>RR-CAP</t>
  </si>
  <si>
    <t>RR-INT1</t>
  </si>
  <si>
    <t>RR-INT2</t>
  </si>
  <si>
    <t>RR-INT3</t>
  </si>
  <si>
    <t>RR-INT4</t>
  </si>
  <si>
    <t>RR-RED</t>
  </si>
  <si>
    <t>AC-CAP</t>
  </si>
  <si>
    <t>AC-INT1</t>
  </si>
  <si>
    <t>AC-INT2</t>
  </si>
  <si>
    <t>AC-INT3</t>
  </si>
  <si>
    <t>AC-INT4</t>
  </si>
  <si>
    <t>AC-RED</t>
  </si>
  <si>
    <t>RO-CAP</t>
  </si>
  <si>
    <t>RO-INT1</t>
  </si>
  <si>
    <t>RO-INT2</t>
  </si>
  <si>
    <t>RO-INT3</t>
  </si>
  <si>
    <t>RO-INT4</t>
  </si>
  <si>
    <t>RO-RED</t>
  </si>
  <si>
    <t>TO-CAP</t>
  </si>
  <si>
    <t>TO-INT1</t>
  </si>
  <si>
    <t>TO-INT2</t>
  </si>
  <si>
    <t>TO-INT3</t>
  </si>
  <si>
    <t>TO-INT4</t>
  </si>
  <si>
    <t>TO-RED</t>
  </si>
  <si>
    <t>DF</t>
  </si>
  <si>
    <t>GO-CAP</t>
  </si>
  <si>
    <t>GO-INT1</t>
  </si>
  <si>
    <t>GO-INT2</t>
  </si>
  <si>
    <t>GO-INT3</t>
  </si>
  <si>
    <t>GO-INT4</t>
  </si>
  <si>
    <t>GO-RED</t>
  </si>
  <si>
    <t>MT-CAP</t>
  </si>
  <si>
    <t>MT-INT1</t>
  </si>
  <si>
    <t>MT-INT2</t>
  </si>
  <si>
    <t>MT-INT3</t>
  </si>
  <si>
    <t>MT-INT4</t>
  </si>
  <si>
    <t>MT-RED</t>
  </si>
  <si>
    <t>MS-CAP</t>
  </si>
  <si>
    <t>MS-INT1</t>
  </si>
  <si>
    <t>MS-INT2</t>
  </si>
  <si>
    <t>MS-INT3</t>
  </si>
  <si>
    <t>MS-INT4</t>
  </si>
  <si>
    <t>MS-RED</t>
  </si>
  <si>
    <t>Faixa de Peso em Kg</t>
  </si>
  <si>
    <t>Adicional por Kg</t>
  </si>
  <si>
    <r>
      <t xml:space="preserve">Generalidades:  </t>
    </r>
    <r>
      <rPr>
        <sz val="11"/>
        <color rgb="FFC00000"/>
        <rFont val="Aptos Narrow"/>
        <family val="2"/>
        <scheme val="minor"/>
      </rPr>
      <t xml:space="preserve"> </t>
    </r>
  </si>
  <si>
    <t xml:space="preserve">Ad-Valorem: 0,2% - Valor referente ao custo com apólice de seguro de cargas, a ser aplicado ao valor da NF transportada; </t>
  </si>
  <si>
    <t xml:space="preserve">GRIS: 0,4% - Valor referente ao percentual de frete valor (gerenciamento de risco), a ser aplicado ao valor da NF transportada; </t>
  </si>
  <si>
    <t xml:space="preserve">Ad-Valorem Zonas de Risco: 0,3% - Valor referente ao custo com apólice de seguro de cargas, a ser aplicado ao valor da NF transportada; </t>
  </si>
  <si>
    <t xml:space="preserve">GRIS Zonas de Risco: 1,0% - Valor referente ao percentual de frete valor (gerenciamento de risco), a ser aplicado ao valor da NF transportada; </t>
  </si>
  <si>
    <t xml:space="preserve">ICMS: Lei Complementar 87/96, de 13.09.1996 determina, no caso do ICMS, a inclusão do valor do imposto em sua base de cálculo; </t>
  </si>
  <si>
    <t>Coleta: Diária (segunda a sexta);</t>
  </si>
  <si>
    <t>Peso  considerado: Para cálculo do valor do frete será considerado o maior peso encontrado entre o peso cliente, peso real ou peso cubado;</t>
  </si>
  <si>
    <t xml:space="preserve">Fator cubagem: 167kg/m³; </t>
  </si>
  <si>
    <t>Dimensão Máx: 120 cm no maior dos lados e que a soma das dimensões não excedam 240 cm;</t>
  </si>
  <si>
    <t xml:space="preserve">Reentrega: 50% valor da entrega, após a 3a. Tentativa; </t>
  </si>
  <si>
    <t xml:space="preserve">Devolução: 100% valor da entrega; </t>
  </si>
  <si>
    <t xml:space="preserve">Faturamento: 15 dd </t>
  </si>
  <si>
    <t xml:space="preserve">Pagamento: 15 dd </t>
  </si>
  <si>
    <t xml:space="preserve">Produtos frágeis e embalagens: Para assumirmos as responsabilidades descritas é necessário que as mercadorias sejam enviadas em embalagens compatíveis com o manuseio que irão sofrer em função da multimodalidade dos meios de entrega. </t>
  </si>
  <si>
    <t xml:space="preserve">Mercadorias danificadas sem dano na embalagem exterior denotam a inadequação destas e nos exime de responsabilidade. Não nos responsabilizamos pelo transporte de líquidos engarrafados. </t>
  </si>
  <si>
    <r>
      <t xml:space="preserve">ACEITAÇÃO DOS TERMOS: Proposta válida por </t>
    </r>
    <r>
      <rPr>
        <b/>
        <sz val="11"/>
        <color rgb="FF000000"/>
        <rFont val="Aptos Narrow"/>
        <family val="2"/>
        <scheme val="minor"/>
      </rPr>
      <t>30 dias</t>
    </r>
    <r>
      <rPr>
        <sz val="11"/>
        <color rgb="FF000000"/>
        <rFont val="Aptos Narrow"/>
        <family val="2"/>
        <scheme val="minor"/>
      </rPr>
      <t xml:space="preserve"> após a data de sua apresentação e ao dar-nos sua remessa para transportarmos, você concorda com todos os termos de nossa tarifa e ninguém está autorizado a alterar ou modificar estes termos e condições.  </t>
    </r>
  </si>
  <si>
    <t xml:space="preserve">Proposta elaborada de acordo com a volumetria e dispersão fornecidos pelo contratante, havendo mudanças significativas nestes valores, os preços estão sujeitos à revisão.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</si>
</sst>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"/>
    <numFmt numFmtId="165" formatCode="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262626"/>
      </patternFill>
    </fill>
    <fill>
      <patternFill patternType="solid">
        <fgColor rgb="FFE50011"/>
        <bgColor rgb="FFC00000"/>
      </patternFill>
    </fill>
    <fill>
      <patternFill patternType="solid">
        <fgColor theme="0"/>
        <bgColor theme="0"/>
      </patternFill>
    </fill>
  </fills>
  <borders count="3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dotted">
        <color rgb="FFE5E5E5"/>
      </right>
      <top style="thin">
        <color theme="0"/>
      </top>
      <bottom style="thin">
        <color theme="0"/>
      </bottom>
      <diagonal/>
    </border>
    <border>
      <left style="dotted">
        <color rgb="FFE5E5E5"/>
      </left>
      <right style="dotted">
        <color rgb="FFE5E5E5"/>
      </right>
      <top style="thin">
        <color theme="0"/>
      </top>
      <bottom style="thin">
        <color theme="0"/>
      </bottom>
      <diagonal/>
    </border>
    <border>
      <left style="dotted">
        <color rgb="FFE5E5E5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dotted">
        <color rgb="FFE5E5E5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dotted">
        <color rgb="FFE5E5E5"/>
      </right>
      <top style="thin">
        <color theme="0"/>
      </top>
      <bottom style="thin">
        <color theme="0"/>
      </bottom>
      <diagonal/>
    </border>
    <border>
      <left style="dotted">
        <color rgb="FFE5E5E5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dotted">
        <color rgb="FFE5E5E5"/>
      </right>
      <top style="medium">
        <color indexed="64"/>
      </top>
      <bottom style="thin">
        <color theme="0"/>
      </bottom>
      <diagonal/>
    </border>
    <border>
      <left style="dotted">
        <color rgb="FFE5E5E5"/>
      </left>
      <right style="dotted">
        <color rgb="FFE5E5E5"/>
      </right>
      <top style="medium">
        <color indexed="64"/>
      </top>
      <bottom style="thin">
        <color theme="0"/>
      </bottom>
      <diagonal/>
    </border>
    <border>
      <left style="dotted">
        <color rgb="FFE5E5E5"/>
      </left>
      <right/>
      <top style="medium">
        <color indexed="64"/>
      </top>
      <bottom style="thin">
        <color theme="0"/>
      </bottom>
      <diagonal/>
    </border>
    <border>
      <left style="dotted">
        <color rgb="FFE5E5E5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dotted">
        <color rgb="FFE5E5E5"/>
      </right>
      <top style="thin">
        <color theme="0"/>
      </top>
      <bottom style="thin">
        <color theme="0"/>
      </bottom>
      <diagonal/>
    </border>
    <border>
      <left style="dotted">
        <color rgb="FFE5E5E5"/>
      </left>
      <right style="medium">
        <color rgb="FF00000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dotted">
        <color rgb="FFE5E5E5"/>
      </right>
      <top style="thin">
        <color theme="0"/>
      </top>
      <bottom/>
      <diagonal/>
    </border>
    <border>
      <left style="dotted">
        <color rgb="FFE5E5E5"/>
      </left>
      <right style="dotted">
        <color rgb="FFE5E5E5"/>
      </right>
      <top style="thin">
        <color theme="0"/>
      </top>
      <bottom/>
      <diagonal/>
    </border>
    <border>
      <left style="dotted">
        <color rgb="FFE5E5E5"/>
      </left>
      <right style="medium">
        <color theme="1"/>
      </right>
      <top style="thin">
        <color theme="0"/>
      </top>
      <bottom/>
      <diagonal/>
    </border>
    <border>
      <left style="dotted">
        <color rgb="FFE5E5E5"/>
      </left>
      <right/>
      <top style="thin">
        <color theme="0"/>
      </top>
      <bottom/>
      <diagonal/>
    </border>
    <border>
      <left style="dotted">
        <color rgb="FFE5E5E5"/>
      </left>
      <right style="medium">
        <color rgb="FF00000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rgb="FF000000"/>
      </left>
      <right style="dotted">
        <color rgb="FFE5E5E5"/>
      </right>
      <top style="medium">
        <color rgb="FF000000"/>
      </top>
      <bottom style="medium">
        <color rgb="FF000000"/>
      </bottom>
      <diagonal/>
    </border>
    <border>
      <left style="dotted">
        <color rgb="FFE5E5E5"/>
      </left>
      <right style="dotted">
        <color rgb="FFE5E5E5"/>
      </right>
      <top style="medium">
        <color rgb="FF000000"/>
      </top>
      <bottom style="medium">
        <color rgb="FF000000"/>
      </bottom>
      <diagonal/>
    </border>
    <border>
      <left style="dotted">
        <color rgb="FFE5E5E5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E5E5E5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E5E5E5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dotted">
        <color rgb="FFE5E5E5"/>
      </right>
      <top style="medium">
        <color rgb="FF000000"/>
      </top>
      <bottom style="medium">
        <color indexed="64"/>
      </bottom>
      <diagonal/>
    </border>
    <border>
      <left style="dotted">
        <color rgb="FFE5E5E5"/>
      </left>
      <right style="dotted">
        <color rgb="FFE5E5E5"/>
      </right>
      <top style="medium">
        <color rgb="FF000000"/>
      </top>
      <bottom style="medium">
        <color indexed="64"/>
      </bottom>
      <diagonal/>
    </border>
    <border>
      <left style="dotted">
        <color rgb="FFE5E5E5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dotted">
        <color rgb="FFE5E5E5"/>
      </right>
      <top style="thin">
        <color theme="0"/>
      </top>
      <bottom/>
      <diagonal/>
    </border>
    <border>
      <left/>
      <right style="dotted">
        <color rgb="FFE5E5E5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dotted">
        <color rgb="FFE5E5E5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dotted">
        <color rgb="FFE5E5E5"/>
      </right>
      <top style="thin">
        <color theme="0"/>
      </top>
      <bottom/>
      <diagonal/>
    </border>
    <border>
      <left style="dotted">
        <color rgb="FFE5E5E5"/>
      </left>
      <right style="medium">
        <color indexed="64"/>
      </right>
      <top style="thin">
        <color theme="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165" fontId="4" fillId="4" borderId="2" xfId="0" applyNumberFormat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164" fontId="6" fillId="5" borderId="5" xfId="0" applyNumberFormat="1" applyFont="1" applyFill="1" applyBorder="1" applyAlignment="1">
      <alignment horizontal="center" vertical="center"/>
    </xf>
    <xf numFmtId="164" fontId="6" fillId="5" borderId="6" xfId="0" applyNumberFormat="1" applyFont="1" applyFill="1" applyBorder="1" applyAlignment="1">
      <alignment horizontal="center" vertical="center"/>
    </xf>
    <xf numFmtId="164" fontId="6" fillId="5" borderId="7" xfId="0" applyNumberFormat="1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center" vertical="center"/>
    </xf>
    <xf numFmtId="164" fontId="6" fillId="5" borderId="8" xfId="0" applyNumberFormat="1" applyFont="1" applyFill="1" applyBorder="1" applyAlignment="1">
      <alignment horizontal="center" vertical="center"/>
    </xf>
    <xf numFmtId="164" fontId="6" fillId="5" borderId="9" xfId="0" applyNumberFormat="1" applyFont="1" applyFill="1" applyBorder="1" applyAlignment="1">
      <alignment horizontal="center" vertical="center"/>
    </xf>
    <xf numFmtId="164" fontId="6" fillId="5" borderId="10" xfId="0" applyNumberFormat="1" applyFont="1" applyFill="1" applyBorder="1" applyAlignment="1">
      <alignment horizontal="center" vertical="center"/>
    </xf>
    <xf numFmtId="164" fontId="6" fillId="5" borderId="11" xfId="0" applyNumberFormat="1" applyFont="1" applyFill="1" applyBorder="1" applyAlignment="1">
      <alignment horizontal="center" vertical="center"/>
    </xf>
    <xf numFmtId="164" fontId="6" fillId="5" borderId="12" xfId="0" applyNumberFormat="1" applyFont="1" applyFill="1" applyBorder="1" applyAlignment="1">
      <alignment horizontal="center" vertical="center"/>
    </xf>
    <xf numFmtId="164" fontId="6" fillId="5" borderId="13" xfId="0" applyNumberFormat="1" applyFont="1" applyFill="1" applyBorder="1" applyAlignment="1">
      <alignment horizontal="center" vertical="center"/>
    </xf>
    <xf numFmtId="164" fontId="6" fillId="5" borderId="16" xfId="0" applyNumberFormat="1" applyFont="1" applyFill="1" applyBorder="1" applyAlignment="1">
      <alignment horizontal="center" vertical="center"/>
    </xf>
    <xf numFmtId="164" fontId="6" fillId="5" borderId="17" xfId="0" applyNumberFormat="1" applyFont="1" applyFill="1" applyBorder="1" applyAlignment="1">
      <alignment horizontal="center" vertical="center"/>
    </xf>
    <xf numFmtId="164" fontId="6" fillId="5" borderId="18" xfId="0" applyNumberFormat="1" applyFont="1" applyFill="1" applyBorder="1" applyAlignment="1">
      <alignment horizontal="center" vertical="center"/>
    </xf>
    <xf numFmtId="164" fontId="6" fillId="5" borderId="19" xfId="0" applyNumberFormat="1" applyFont="1" applyFill="1" applyBorder="1" applyAlignment="1">
      <alignment horizontal="center" vertical="center"/>
    </xf>
    <xf numFmtId="164" fontId="6" fillId="5" borderId="20" xfId="0" applyNumberFormat="1" applyFont="1" applyFill="1" applyBorder="1" applyAlignment="1">
      <alignment horizontal="center" vertical="center"/>
    </xf>
    <xf numFmtId="164" fontId="6" fillId="5" borderId="21" xfId="0" applyNumberFormat="1" applyFont="1" applyFill="1" applyBorder="1" applyAlignment="1">
      <alignment horizontal="center" vertical="center"/>
    </xf>
    <xf numFmtId="164" fontId="6" fillId="5" borderId="23" xfId="0" applyNumberFormat="1" applyFont="1" applyFill="1" applyBorder="1" applyAlignment="1">
      <alignment horizontal="center" vertical="center"/>
    </xf>
    <xf numFmtId="164" fontId="6" fillId="5" borderId="24" xfId="0" applyNumberFormat="1" applyFont="1" applyFill="1" applyBorder="1" applyAlignment="1">
      <alignment horizontal="center" vertical="center"/>
    </xf>
    <xf numFmtId="164" fontId="6" fillId="5" borderId="25" xfId="0" applyNumberFormat="1" applyFont="1" applyFill="1" applyBorder="1" applyAlignment="1">
      <alignment horizontal="center" vertical="center"/>
    </xf>
    <xf numFmtId="164" fontId="6" fillId="5" borderId="26" xfId="0" applyNumberFormat="1" applyFont="1" applyFill="1" applyBorder="1" applyAlignment="1">
      <alignment horizontal="center" vertical="center"/>
    </xf>
    <xf numFmtId="164" fontId="6" fillId="5" borderId="27" xfId="0" applyNumberFormat="1" applyFont="1" applyFill="1" applyBorder="1" applyAlignment="1">
      <alignment horizontal="center" vertical="center"/>
    </xf>
    <xf numFmtId="164" fontId="6" fillId="5" borderId="28" xfId="0" applyNumberFormat="1" applyFont="1" applyFill="1" applyBorder="1" applyAlignment="1">
      <alignment horizontal="center" vertical="center"/>
    </xf>
    <xf numFmtId="164" fontId="6" fillId="5" borderId="29" xfId="0" applyNumberFormat="1" applyFont="1" applyFill="1" applyBorder="1" applyAlignment="1">
      <alignment horizontal="center" vertical="center"/>
    </xf>
    <xf numFmtId="164" fontId="6" fillId="5" borderId="30" xfId="0" applyNumberFormat="1" applyFont="1" applyFill="1" applyBorder="1" applyAlignment="1">
      <alignment horizontal="center" vertical="center"/>
    </xf>
    <xf numFmtId="0" fontId="1" fillId="2" borderId="0" xfId="0" applyFont="1" applyFill="1"/>
    <xf numFmtId="164" fontId="6" fillId="5" borderId="14" xfId="0" applyNumberFormat="1" applyFont="1" applyFill="1" applyBorder="1" applyAlignment="1">
      <alignment horizontal="center" vertical="center"/>
    </xf>
    <xf numFmtId="164" fontId="6" fillId="5" borderId="15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9" fillId="2" borderId="0" xfId="0" applyFont="1" applyFill="1"/>
    <xf numFmtId="164" fontId="6" fillId="5" borderId="32" xfId="0" applyNumberFormat="1" applyFont="1" applyFill="1" applyBorder="1" applyAlignment="1">
      <alignment horizontal="center" vertical="center"/>
    </xf>
    <xf numFmtId="164" fontId="6" fillId="5" borderId="33" xfId="0" applyNumberFormat="1" applyFont="1" applyFill="1" applyBorder="1" applyAlignment="1">
      <alignment horizontal="center" vertical="center"/>
    </xf>
    <xf numFmtId="164" fontId="6" fillId="5" borderId="34" xfId="0" applyNumberFormat="1" applyFont="1" applyFill="1" applyBorder="1" applyAlignment="1">
      <alignment horizontal="center" vertical="center"/>
    </xf>
    <xf numFmtId="164" fontId="6" fillId="5" borderId="35" xfId="0" applyNumberFormat="1" applyFont="1" applyFill="1" applyBorder="1" applyAlignment="1">
      <alignment horizontal="center" vertical="center"/>
    </xf>
    <xf numFmtId="164" fontId="6" fillId="5" borderId="36" xfId="0" applyNumberFormat="1" applyFont="1" applyFill="1" applyBorder="1" applyAlignment="1">
      <alignment horizontal="center" vertical="center"/>
    </xf>
    <xf numFmtId="164" fontId="6" fillId="5" borderId="37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 applyProtection="1">
      <alignment horizontal="center" vertical="center"/>
      <protection hidden="1"/>
    </xf>
    <xf numFmtId="0" fontId="3" fillId="4" borderId="2" xfId="0" applyFont="1" applyFill="1" applyBorder="1" applyProtection="1">
      <protection hidden="1"/>
    </xf>
    <xf numFmtId="0" fontId="5" fillId="4" borderId="2" xfId="0" applyFont="1" applyFill="1" applyBorder="1" applyAlignment="1">
      <alignment horizontal="center"/>
    </xf>
    <xf numFmtId="0" fontId="3" fillId="4" borderId="2" xfId="0" applyFont="1" applyFill="1" applyBorder="1"/>
    <xf numFmtId="165" fontId="4" fillId="4" borderId="3" xfId="0" applyNumberFormat="1" applyFont="1" applyFill="1" applyBorder="1" applyAlignment="1">
      <alignment horizontal="center" vertical="center"/>
    </xf>
    <xf numFmtId="165" fontId="4" fillId="4" borderId="2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164" fontId="2" fillId="3" borderId="22" xfId="0" applyNumberFormat="1" applyFont="1" applyFill="1" applyBorder="1" applyAlignment="1">
      <alignment horizontal="center"/>
    </xf>
    <xf numFmtId="164" fontId="2" fillId="3" borderId="31" xfId="0" applyNumberFormat="1" applyFont="1" applyFill="1" applyBorder="1" applyAlignment="1">
      <alignment horizont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1515" y="195943"/>
    <xdr:ext cx="13906500" cy="7032171"/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D0080669-5986-4FD0-ADFE-04C4DAA6DDA0}"/>
            </a:ext>
          </a:extLst>
        </xdr:cNvPr>
        <xdr:cNvSpPr/>
      </xdr:nvSpPr>
      <xdr:spPr>
        <a:xfrm>
          <a:off x="141515" y="195943"/>
          <a:ext cx="13906500" cy="7032171"/>
        </a:xfrm>
        <a:prstGeom prst="roundRect">
          <a:avLst>
            <a:gd name="adj" fmla="val 3464"/>
          </a:avLst>
        </a:prstGeom>
        <a:gradFill flip="none" rotWithShape="1">
          <a:gsLst>
            <a:gs pos="78000">
              <a:schemeClr val="bg1"/>
            </a:gs>
            <a:gs pos="15000">
              <a:srgbClr val="E50011"/>
            </a:gs>
            <a:gs pos="0">
              <a:srgbClr val="E50011"/>
            </a:gs>
            <a:gs pos="50000">
              <a:srgbClr val="E50011">
                <a:tint val="44500"/>
                <a:satMod val="160000"/>
              </a:srgbClr>
            </a:gs>
            <a:gs pos="100000">
              <a:schemeClr val="bg1"/>
            </a:gs>
          </a:gsLst>
          <a:lin ang="0" scaled="1"/>
          <a:tileRect/>
        </a:gradFill>
        <a:ln>
          <a:solidFill>
            <a:srgbClr val="E5001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absoluteAnchor>
  <xdr:oneCellAnchor>
    <xdr:from>
      <xdr:col>18</xdr:col>
      <xdr:colOff>251460</xdr:colOff>
      <xdr:row>1</xdr:row>
      <xdr:rowOff>121920</xdr:rowOff>
    </xdr:from>
    <xdr:ext cx="3177088" cy="468013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F51C048-72BD-4DCF-96B4-709E481D88EA}"/>
            </a:ext>
          </a:extLst>
        </xdr:cNvPr>
        <xdr:cNvSpPr txBox="1"/>
      </xdr:nvSpPr>
      <xdr:spPr>
        <a:xfrm>
          <a:off x="10715625" y="238125"/>
          <a:ext cx="3177088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 i="1">
              <a:solidFill>
                <a:srgbClr val="E50011"/>
              </a:solidFill>
            </a:rPr>
            <a:t>PROPOSTA COMERCIAL</a:t>
          </a:r>
        </a:p>
      </xdr:txBody>
    </xdr:sp>
    <xdr:clientData/>
  </xdr:oneCellAnchor>
  <xdr:twoCellAnchor>
    <xdr:from>
      <xdr:col>15</xdr:col>
      <xdr:colOff>403860</xdr:colOff>
      <xdr:row>3</xdr:row>
      <xdr:rowOff>167640</xdr:rowOff>
    </xdr:from>
    <xdr:to>
      <xdr:col>23</xdr:col>
      <xdr:colOff>388620</xdr:colOff>
      <xdr:row>3</xdr:row>
      <xdr:rowOff>167640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75AFA744-307C-4C23-9A55-DA8F97A7B844}"/>
            </a:ext>
          </a:extLst>
        </xdr:cNvPr>
        <xdr:cNvCxnSpPr/>
      </xdr:nvCxnSpPr>
      <xdr:spPr>
        <a:xfrm>
          <a:off x="9039225" y="647700"/>
          <a:ext cx="4867275" cy="0"/>
        </a:xfrm>
        <a:prstGeom prst="line">
          <a:avLst/>
        </a:prstGeom>
        <a:ln>
          <a:solidFill>
            <a:srgbClr val="E5001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123825</xdr:colOff>
      <xdr:row>6</xdr:row>
      <xdr:rowOff>28575</xdr:rowOff>
    </xdr:from>
    <xdr:to>
      <xdr:col>19</xdr:col>
      <xdr:colOff>390525</xdr:colOff>
      <xdr:row>38</xdr:row>
      <xdr:rowOff>32658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EE40D933-32F6-41F7-8259-C4EA85A4D25F}"/>
            </a:ext>
          </a:extLst>
        </xdr:cNvPr>
        <xdr:cNvSpPr/>
      </xdr:nvSpPr>
      <xdr:spPr>
        <a:xfrm>
          <a:off x="232682" y="1138918"/>
          <a:ext cx="11239500" cy="5925911"/>
        </a:xfrm>
        <a:prstGeom prst="roundRect">
          <a:avLst>
            <a:gd name="adj" fmla="val 3464"/>
          </a:avLst>
        </a:prstGeom>
        <a:solidFill>
          <a:sysClr val="window" lastClr="FFFFFF">
            <a:alpha val="83000"/>
          </a:sys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</xdr:col>
      <xdr:colOff>182880</xdr:colOff>
      <xdr:row>6</xdr:row>
      <xdr:rowOff>121920</xdr:rowOff>
    </xdr:from>
    <xdr:ext cx="11094720" cy="56997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AA556841-593C-4A15-B521-0AEBD8A8DB10}"/>
            </a:ext>
          </a:extLst>
        </xdr:cNvPr>
        <xdr:cNvSpPr txBox="1"/>
      </xdr:nvSpPr>
      <xdr:spPr>
        <a:xfrm>
          <a:off x="285750" y="1143000"/>
          <a:ext cx="11094720" cy="5699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Caro (a)</a:t>
          </a:r>
          <a:r>
            <a:rPr lang="pt-BR"/>
            <a:t> </a:t>
          </a:r>
        </a:p>
        <a:p>
          <a:endParaRPr lang="pt-BR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Agradeço a oportunidade de poder oferecer os serviços </a:t>
          </a:r>
          <a:r>
            <a:rPr lang="pt-BR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J&amp;T Express </a:t>
          </a:r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o seu negócio, após cuidadosa análise do nosso time conseguimos chegar às tabelas e condições detalhadas abaixo.</a:t>
          </a:r>
          <a:r>
            <a:rPr lang="pt-BR"/>
            <a:t> </a:t>
          </a:r>
        </a:p>
        <a:p>
          <a:endParaRPr lang="pt-BR" sz="1100" b="1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Condições consideradas:</a:t>
          </a:r>
          <a:r>
            <a:rPr lang="pt-BR">
              <a:solidFill>
                <a:srgbClr val="C00000"/>
              </a:solidFill>
            </a:rPr>
            <a:t> </a:t>
          </a:r>
        </a:p>
        <a:p>
          <a:endParaRPr lang="pt-BR"/>
        </a:p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Previsão Volume/dia:  </a:t>
          </a:r>
        </a:p>
        <a:p>
          <a:endParaRPr lang="pt-BR" sz="6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Peso médio do pacote: </a:t>
          </a:r>
        </a:p>
        <a:p>
          <a:endParaRPr lang="pt-BR" sz="6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CEP Origem:</a:t>
          </a:r>
          <a:r>
            <a:rPr lang="pt-BR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pt-BR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0" i="0" u="none" strike="noStrike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Generalidades:  </a:t>
          </a:r>
          <a:r>
            <a:rPr lang="pt-BR">
              <a:solidFill>
                <a:srgbClr val="C00000"/>
              </a:solidFill>
            </a:rPr>
            <a:t> </a:t>
          </a:r>
        </a:p>
        <a:p>
          <a:endParaRPr lang="pt-BR" sz="400">
            <a:solidFill>
              <a:srgbClr val="C00000"/>
            </a:solidFill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Ad-Valorem: 0,2% - Valor referente ao custo com apólice de seguro de cargas, a ser aplicado ao valor da NF transportada;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GRIS: 0,4% - Valor referente ao percentual de frete valor (gerenciamento de risco), a ser aplicado ao valor da NF transportada;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Ad-Valorem Zonas de Risco: 0,3% - Valor referente ao custo com apólice de seguro de cargas, a ser aplicado ao valor da NF transportada;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GRIS Zonas de Risco: 1,0% - Valor referente ao percentual de frete valor (gerenciamento de risco), a ser aplicado ao valor da NF transportada;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ICMS: Lei Complementar 87/96, de 13.09.1996 determina, no caso do ICMS, a inclusão do valor do imposto em sua base de cálculo;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Coleta:</a:t>
          </a:r>
          <a:r>
            <a:rPr lang="pt-BR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Diária (segunda a sexta);</a:t>
          </a:r>
          <a:endParaRPr lang="pt-BR">
            <a:effectLst/>
          </a:endParaRPr>
        </a:p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Peso 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considerado: Para cálculo do valor do frete será considerado o maior peso encontrado entre o peso cliente, peso real ou peso cubado;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Fator cubagem: 167kg/m³;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Dimensão Máx: 120 cm no maior dos lados</a:t>
          </a:r>
          <a:r>
            <a:rPr lang="pt-BR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 que a soma das dimensões não excedam 240 cm;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Reentrega: 50% valor da entrega, após a 3a. Tentativa;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Devolução: 100% valor da entrega;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Faturamento: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 dd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Pagamento: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 dd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Produtos frágeis e embalagens: Para assumirmos as responsabilidades descritas é necessário que as mercadorias sejam enviadas em embalagens compatíveis com o manuseio que irão sofrer em função da multimodalidade dos meios de entrega.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Mercadorias danificadas sem dano na embalagem exterior denotam a inadequação destas e nos exime de responsabilidade. Não nos responsabilizamos pelo transporte de líquidos engarrafados.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ACEITAÇÃO DOS TERMOS: Proposta válida por </a:t>
          </a:r>
          <a:r>
            <a:rPr lang="pt-BR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 dias</a:t>
          </a:r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após a data de sua apresentação e ao dar-nos sua remessa para transportarmos, você concorda com todos os termos de nossa tarifa e ninguém está autorizado a alterar ou modificar estes termos e condições. 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>
            <a:effectLst/>
          </a:endParaRPr>
        </a:p>
        <a:p>
          <a:r>
            <a:rPr lang="pt-B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Proposta elaborada de acordo com a volumetria e dispersão fornecidos pelo contratante, havendo mudanças significativas nestes valores, os preços estão sujeitos à revisão.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pt-BR"/>
        </a:p>
      </xdr:txBody>
    </xdr:sp>
    <xdr:clientData/>
  </xdr:oneCellAnchor>
  <xdr:oneCellAnchor>
    <xdr:from>
      <xdr:col>17</xdr:col>
      <xdr:colOff>243841</xdr:colOff>
      <xdr:row>11</xdr:row>
      <xdr:rowOff>28575</xdr:rowOff>
    </xdr:from>
    <xdr:ext cx="3795274" cy="5071169"/>
    <xdr:pic>
      <xdr:nvPicPr>
        <xdr:cNvPr id="18" name="Imagem 17">
          <a:extLst>
            <a:ext uri="{FF2B5EF4-FFF2-40B4-BE49-F238E27FC236}">
              <a16:creationId xmlns:a16="http://schemas.microsoft.com/office/drawing/2014/main" id="{7787DDC2-7C15-4459-9FEB-846C1EDB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6026" y="1950720"/>
          <a:ext cx="3795274" cy="5071169"/>
        </a:xfrm>
        <a:prstGeom prst="rect">
          <a:avLst/>
        </a:prstGeom>
      </xdr:spPr>
    </xdr:pic>
    <xdr:clientData/>
  </xdr:oneCellAnchor>
  <xdr:oneCellAnchor>
    <xdr:from>
      <xdr:col>3</xdr:col>
      <xdr:colOff>184513</xdr:colOff>
      <xdr:row>12</xdr:row>
      <xdr:rowOff>78922</xdr:rowOff>
    </xdr:from>
    <xdr:ext cx="990600" cy="288471"/>
    <xdr:sp macro="" textlink="" fLocksText="0">
      <xdr:nvSpPr>
        <xdr:cNvPr id="19" name="CaixaDeTexto 18">
          <a:extLst>
            <a:ext uri="{FF2B5EF4-FFF2-40B4-BE49-F238E27FC236}">
              <a16:creationId xmlns:a16="http://schemas.microsoft.com/office/drawing/2014/main" id="{084EF228-8D2D-4CD9-9F77-D70B5B5AD76F}"/>
            </a:ext>
          </a:extLst>
        </xdr:cNvPr>
        <xdr:cNvSpPr txBox="1"/>
      </xdr:nvSpPr>
      <xdr:spPr>
        <a:xfrm>
          <a:off x="1518013" y="2201636"/>
          <a:ext cx="990600" cy="2884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200"/>
        </a:p>
      </xdr:txBody>
    </xdr:sp>
    <xdr:clientData/>
  </xdr:oneCellAnchor>
  <xdr:oneCellAnchor>
    <xdr:from>
      <xdr:col>3</xdr:col>
      <xdr:colOff>288472</xdr:colOff>
      <xdr:row>13</xdr:row>
      <xdr:rowOff>155121</xdr:rowOff>
    </xdr:from>
    <xdr:ext cx="1143000" cy="337355"/>
    <xdr:sp macro="" textlink="" fLocksText="0">
      <xdr:nvSpPr>
        <xdr:cNvPr id="20" name="CaixaDeTexto 19">
          <a:extLst>
            <a:ext uri="{FF2B5EF4-FFF2-40B4-BE49-F238E27FC236}">
              <a16:creationId xmlns:a16="http://schemas.microsoft.com/office/drawing/2014/main" id="{12513BAA-396F-41B8-87F4-8EF619E2528E}"/>
            </a:ext>
          </a:extLst>
        </xdr:cNvPr>
        <xdr:cNvSpPr txBox="1"/>
      </xdr:nvSpPr>
      <xdr:spPr>
        <a:xfrm>
          <a:off x="1621972" y="2454728"/>
          <a:ext cx="1143000" cy="3373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200"/>
            <a:t>Peso Cliente</a:t>
          </a:r>
        </a:p>
      </xdr:txBody>
    </xdr:sp>
    <xdr:clientData/>
  </xdr:oneCellAnchor>
  <xdr:oneCellAnchor>
    <xdr:from>
      <xdr:col>2</xdr:col>
      <xdr:colOff>344260</xdr:colOff>
      <xdr:row>15</xdr:row>
      <xdr:rowOff>73478</xdr:rowOff>
    </xdr:from>
    <xdr:ext cx="1150620" cy="322115"/>
    <xdr:sp macro="" textlink="" fLocksText="0">
      <xdr:nvSpPr>
        <xdr:cNvPr id="21" name="CaixaDeTexto 20">
          <a:extLst>
            <a:ext uri="{FF2B5EF4-FFF2-40B4-BE49-F238E27FC236}">
              <a16:creationId xmlns:a16="http://schemas.microsoft.com/office/drawing/2014/main" id="{16BDB09E-E70E-471B-BFB7-C0362EA50A34}"/>
            </a:ext>
          </a:extLst>
        </xdr:cNvPr>
        <xdr:cNvSpPr txBox="1"/>
      </xdr:nvSpPr>
      <xdr:spPr>
        <a:xfrm>
          <a:off x="1065439" y="2726871"/>
          <a:ext cx="1150620" cy="3221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200"/>
        </a:p>
      </xdr:txBody>
    </xdr:sp>
    <xdr:clientData/>
  </xdr:oneCellAnchor>
  <xdr:oneCellAnchor>
    <xdr:from>
      <xdr:col>2</xdr:col>
      <xdr:colOff>53340</xdr:colOff>
      <xdr:row>6</xdr:row>
      <xdr:rowOff>114299</xdr:rowOff>
    </xdr:from>
    <xdr:ext cx="3467100" cy="335281"/>
    <xdr:sp macro="" textlink="" fLocksText="0">
      <xdr:nvSpPr>
        <xdr:cNvPr id="22" name="CaixaDeTexto 21">
          <a:extLst>
            <a:ext uri="{FF2B5EF4-FFF2-40B4-BE49-F238E27FC236}">
              <a16:creationId xmlns:a16="http://schemas.microsoft.com/office/drawing/2014/main" id="{78DCB6F7-42F6-4E6D-A546-365A68E26CF9}"/>
            </a:ext>
          </a:extLst>
        </xdr:cNvPr>
        <xdr:cNvSpPr txBox="1"/>
      </xdr:nvSpPr>
      <xdr:spPr>
        <a:xfrm>
          <a:off x="771525" y="1133474"/>
          <a:ext cx="3467100" cy="3352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pt-BR" sz="1200"/>
        </a:p>
      </xdr:txBody>
    </xdr:sp>
    <xdr:clientData/>
  </xdr:oneCellAnchor>
  <xdr:twoCellAnchor>
    <xdr:from>
      <xdr:col>1</xdr:col>
      <xdr:colOff>153217</xdr:colOff>
      <xdr:row>1</xdr:row>
      <xdr:rowOff>69668</xdr:rowOff>
    </xdr:from>
    <xdr:to>
      <xdr:col>4</xdr:col>
      <xdr:colOff>435448</xdr:colOff>
      <xdr:row>5</xdr:row>
      <xdr:rowOff>42904</xdr:rowOff>
    </xdr:to>
    <xdr:pic>
      <xdr:nvPicPr>
        <xdr:cNvPr id="2" name="Imagem 1" descr="Nenhuma descrição de foto disponível.">
          <a:extLst>
            <a:ext uri="{FF2B5EF4-FFF2-40B4-BE49-F238E27FC236}">
              <a16:creationId xmlns:a16="http://schemas.microsoft.com/office/drawing/2014/main" id="{D0836626-8092-4F93-B028-03DB6E4F63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196" b="34334"/>
        <a:stretch/>
      </xdr:blipFill>
      <xdr:spPr bwMode="auto">
        <a:xfrm>
          <a:off x="262074" y="246561"/>
          <a:ext cx="2119195" cy="680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1</xdr:row>
      <xdr:rowOff>7620</xdr:rowOff>
    </xdr:from>
    <xdr:to>
      <xdr:col>160</xdr:col>
      <xdr:colOff>9526</xdr:colOff>
      <xdr:row>6</xdr:row>
      <xdr:rowOff>28575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11FD9729-AC12-4DCB-9693-98F5626731F0}"/>
            </a:ext>
          </a:extLst>
        </xdr:cNvPr>
        <xdr:cNvGrpSpPr/>
      </xdr:nvGrpSpPr>
      <xdr:grpSpPr>
        <a:xfrm>
          <a:off x="692748" y="186914"/>
          <a:ext cx="105297531" cy="917426"/>
          <a:chOff x="74294" y="76200"/>
          <a:chExt cx="110491906" cy="110490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D4BD1570-88F7-BB1E-338A-4A14C5EB0994}"/>
              </a:ext>
            </a:extLst>
          </xdr:cNvPr>
          <xdr:cNvSpPr/>
        </xdr:nvSpPr>
        <xdr:spPr>
          <a:xfrm>
            <a:off x="74294" y="76200"/>
            <a:ext cx="110491906" cy="1104900"/>
          </a:xfrm>
          <a:prstGeom prst="roundRect">
            <a:avLst/>
          </a:prstGeom>
          <a:solidFill>
            <a:srgbClr val="E5001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693F4A53-929B-5087-889D-F4563D076B09}"/>
              </a:ext>
            </a:extLst>
          </xdr:cNvPr>
          <xdr:cNvSpPr txBox="1"/>
        </xdr:nvSpPr>
        <xdr:spPr>
          <a:xfrm>
            <a:off x="2503170" y="460057"/>
            <a:ext cx="2640175" cy="295251"/>
          </a:xfrm>
          <a:prstGeom prst="rect">
            <a:avLst/>
          </a:prstGeom>
          <a:solidFill>
            <a:srgbClr val="E5001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t-BR" sz="1100" b="1">
                <a:solidFill>
                  <a:schemeClr val="bg1"/>
                </a:solidFill>
              </a:rPr>
              <a:t>Origem</a:t>
            </a:r>
            <a:r>
              <a:rPr lang="pt-BR" sz="1100" b="1" baseline="0">
                <a:solidFill>
                  <a:schemeClr val="bg1"/>
                </a:solidFill>
              </a:rPr>
              <a:t>: REGIÃO PA-AP-AM-TO</a:t>
            </a:r>
            <a:endParaRPr lang="pt-BR" sz="1100" b="1">
              <a:solidFill>
                <a:schemeClr val="bg1"/>
              </a:solidFill>
            </a:endParaRPr>
          </a:p>
        </xdr:txBody>
      </xdr:sp>
      <xdr:sp macro="" textlink="" fLocksText="0">
        <xdr:nvSpPr>
          <xdr:cNvPr id="5" name="CaixaDeTexto 4">
            <a:extLst>
              <a:ext uri="{FF2B5EF4-FFF2-40B4-BE49-F238E27FC236}">
                <a16:creationId xmlns:a16="http://schemas.microsoft.com/office/drawing/2014/main" id="{88D4B63B-E83B-5542-B9B3-8367ADB01A98}"/>
              </a:ext>
            </a:extLst>
          </xdr:cNvPr>
          <xdr:cNvSpPr txBox="1"/>
        </xdr:nvSpPr>
        <xdr:spPr>
          <a:xfrm>
            <a:off x="2503170" y="181927"/>
            <a:ext cx="2402448" cy="310515"/>
          </a:xfrm>
          <a:prstGeom prst="rect">
            <a:avLst/>
          </a:prstGeom>
          <a:solidFill>
            <a:srgbClr val="E5001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Proposta Frete Padrão - Tier F</a:t>
            </a:r>
          </a:p>
        </xdr:txBody>
      </xdr:sp>
      <xdr:pic>
        <xdr:nvPicPr>
          <xdr:cNvPr id="6" name="Imagem 5" descr="Nenhuma descrição de foto disponível.">
            <a:extLst>
              <a:ext uri="{FF2B5EF4-FFF2-40B4-BE49-F238E27FC236}">
                <a16:creationId xmlns:a16="http://schemas.microsoft.com/office/drawing/2014/main" id="{638AC527-0F5D-4A51-C047-F48357F2F9A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196" b="34334"/>
          <a:stretch/>
        </xdr:blipFill>
        <xdr:spPr bwMode="auto">
          <a:xfrm>
            <a:off x="133949" y="219075"/>
            <a:ext cx="2235870" cy="8153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2600-43E2-4437-8A70-726A6355FF50}">
  <dimension ref="A1"/>
  <sheetViews>
    <sheetView zoomScale="70" zoomScaleNormal="70" workbookViewId="0">
      <selection activeCell="G50" sqref="G50"/>
    </sheetView>
  </sheetViews>
  <sheetFormatPr defaultRowHeight="14.4" x14ac:dyDescent="0.3"/>
  <cols>
    <col min="1" max="1" width="1.5546875" style="1" customWidth="1"/>
    <col min="2" max="16384" width="8.88671875" style="1"/>
  </cols>
  <sheetData>
    <row r="1" s="1" customFormat="1" x14ac:dyDescent="0.3"/>
  </sheetData>
  <sheetProtection algorithmName="SHA-512" hashValue="LuJZlDxqHqxJXs3S750rLdskaKkPKMLwPxaWYNhWwfxTw0gpI4P4S5gtHDlVFL3Hq5g2ExiLCH9K06JORH3bkA==" saltValue="qZsUzAZczOgzI3kNfYCXfg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9E39-B164-4CC8-853C-E29A48601C8B}">
  <dimension ref="B8:FD63"/>
  <sheetViews>
    <sheetView tabSelected="1" zoomScale="85" zoomScaleNormal="85" workbookViewId="0">
      <selection activeCell="E1" sqref="E1"/>
    </sheetView>
  </sheetViews>
  <sheetFormatPr defaultColWidth="9.88671875" defaultRowHeight="14.4" x14ac:dyDescent="0.3"/>
  <cols>
    <col min="1" max="1" width="9.88671875" style="1"/>
    <col min="2" max="2" width="17.77734375" style="1" customWidth="1"/>
    <col min="3" max="3" width="6.44140625" style="1" bestFit="1" customWidth="1"/>
    <col min="4" max="5" width="9" style="1" bestFit="1" customWidth="1"/>
    <col min="6" max="9" width="10" style="1" bestFit="1" customWidth="1"/>
    <col min="10" max="11" width="9" style="1" bestFit="1" customWidth="1"/>
    <col min="12" max="15" width="10" style="1" bestFit="1" customWidth="1"/>
    <col min="16" max="17" width="9" style="1" bestFit="1" customWidth="1"/>
    <col min="18" max="21" width="10" style="1" bestFit="1" customWidth="1"/>
    <col min="22" max="23" width="9" style="1" bestFit="1" customWidth="1"/>
    <col min="24" max="27" width="10" style="1" bestFit="1" customWidth="1"/>
    <col min="28" max="29" width="9" style="1" bestFit="1" customWidth="1"/>
    <col min="30" max="33" width="10" style="1" bestFit="1" customWidth="1"/>
    <col min="34" max="35" width="9" style="1" bestFit="1" customWidth="1"/>
    <col min="36" max="39" width="10" style="1" bestFit="1" customWidth="1"/>
    <col min="40" max="41" width="9" style="1" bestFit="1" customWidth="1"/>
    <col min="42" max="45" width="10" style="1" bestFit="1" customWidth="1"/>
    <col min="46" max="47" width="9" style="1" bestFit="1" customWidth="1"/>
    <col min="48" max="51" width="10" style="1" bestFit="1" customWidth="1"/>
    <col min="52" max="53" width="9" style="1" bestFit="1" customWidth="1"/>
    <col min="54" max="57" width="10" style="1" bestFit="1" customWidth="1"/>
    <col min="58" max="59" width="9" style="1" bestFit="1" customWidth="1"/>
    <col min="60" max="63" width="10" style="1" bestFit="1" customWidth="1"/>
    <col min="64" max="65" width="9" style="1" bestFit="1" customWidth="1"/>
    <col min="66" max="69" width="10" style="1" bestFit="1" customWidth="1"/>
    <col min="70" max="71" width="9" style="1" bestFit="1" customWidth="1"/>
    <col min="72" max="75" width="10" style="1" bestFit="1" customWidth="1"/>
    <col min="76" max="77" width="9" style="1" bestFit="1" customWidth="1"/>
    <col min="78" max="81" width="10" style="1" bestFit="1" customWidth="1"/>
    <col min="82" max="83" width="9" style="1" bestFit="1" customWidth="1"/>
    <col min="84" max="87" width="10" style="1" bestFit="1" customWidth="1"/>
    <col min="88" max="89" width="9" style="1" bestFit="1" customWidth="1"/>
    <col min="90" max="93" width="10" style="1" bestFit="1" customWidth="1"/>
    <col min="94" max="95" width="9" style="1" bestFit="1" customWidth="1"/>
    <col min="96" max="99" width="10" style="1" bestFit="1" customWidth="1"/>
    <col min="100" max="121" width="9" style="1" bestFit="1" customWidth="1"/>
    <col min="122" max="135" width="10" style="1" bestFit="1" customWidth="1"/>
    <col min="136" max="144" width="9" style="1" bestFit="1" customWidth="1"/>
    <col min="145" max="148" width="10" style="1" bestFit="1" customWidth="1"/>
    <col min="149" max="150" width="9" style="1" bestFit="1" customWidth="1"/>
    <col min="151" max="154" width="10" style="1" bestFit="1" customWidth="1"/>
    <col min="155" max="155" width="9" style="1" bestFit="1" customWidth="1"/>
    <col min="156" max="160" width="10" style="1" bestFit="1" customWidth="1"/>
    <col min="161" max="16384" width="9.88671875" style="1"/>
  </cols>
  <sheetData>
    <row r="8" spans="2:160" x14ac:dyDescent="0.3">
      <c r="B8" s="28"/>
      <c r="C8" s="28"/>
      <c r="D8" s="46" t="s">
        <v>0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8"/>
      <c r="AB8" s="49" t="s">
        <v>1</v>
      </c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1"/>
      <c r="AT8" s="46" t="s">
        <v>2</v>
      </c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7"/>
      <c r="CR8" s="47"/>
      <c r="CS8" s="47"/>
      <c r="CT8" s="47"/>
      <c r="CU8" s="48"/>
      <c r="CV8" s="46" t="s">
        <v>3</v>
      </c>
      <c r="CW8" s="47"/>
      <c r="CX8" s="47"/>
      <c r="CY8" s="47"/>
      <c r="CZ8" s="47"/>
      <c r="DA8" s="47"/>
      <c r="DB8" s="47"/>
      <c r="DC8" s="47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8"/>
      <c r="EL8" s="46" t="s">
        <v>4</v>
      </c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  <c r="EY8" s="47"/>
      <c r="EZ8" s="47"/>
      <c r="FA8" s="47"/>
      <c r="FB8" s="47"/>
      <c r="FC8" s="47"/>
      <c r="FD8" s="48"/>
    </row>
    <row r="9" spans="2:160" x14ac:dyDescent="0.3">
      <c r="B9" s="45" t="s">
        <v>5</v>
      </c>
      <c r="C9" s="42"/>
      <c r="D9" s="45" t="s">
        <v>6</v>
      </c>
      <c r="E9" s="45" t="s">
        <v>7</v>
      </c>
      <c r="F9" s="45" t="s">
        <v>8</v>
      </c>
      <c r="G9" s="45" t="s">
        <v>9</v>
      </c>
      <c r="H9" s="45" t="s">
        <v>10</v>
      </c>
      <c r="I9" s="45" t="s">
        <v>11</v>
      </c>
      <c r="J9" s="45" t="s">
        <v>12</v>
      </c>
      <c r="K9" s="45" t="s">
        <v>13</v>
      </c>
      <c r="L9" s="45" t="s">
        <v>14</v>
      </c>
      <c r="M9" s="45" t="s">
        <v>15</v>
      </c>
      <c r="N9" s="45" t="s">
        <v>16</v>
      </c>
      <c r="O9" s="45" t="s">
        <v>17</v>
      </c>
      <c r="P9" s="45" t="s">
        <v>18</v>
      </c>
      <c r="Q9" s="45" t="s">
        <v>19</v>
      </c>
      <c r="R9" s="45" t="s">
        <v>20</v>
      </c>
      <c r="S9" s="45" t="s">
        <v>21</v>
      </c>
      <c r="T9" s="45" t="s">
        <v>22</v>
      </c>
      <c r="U9" s="45" t="s">
        <v>23</v>
      </c>
      <c r="V9" s="45" t="s">
        <v>24</v>
      </c>
      <c r="W9" s="45" t="s">
        <v>25</v>
      </c>
      <c r="X9" s="45" t="s">
        <v>26</v>
      </c>
      <c r="Y9" s="45" t="s">
        <v>27</v>
      </c>
      <c r="Z9" s="45" t="s">
        <v>28</v>
      </c>
      <c r="AA9" s="45" t="s">
        <v>29</v>
      </c>
      <c r="AB9" s="45" t="s">
        <v>30</v>
      </c>
      <c r="AC9" s="45" t="s">
        <v>31</v>
      </c>
      <c r="AD9" s="45" t="s">
        <v>32</v>
      </c>
      <c r="AE9" s="45" t="s">
        <v>33</v>
      </c>
      <c r="AF9" s="45" t="s">
        <v>34</v>
      </c>
      <c r="AG9" s="45" t="s">
        <v>35</v>
      </c>
      <c r="AH9" s="45" t="s">
        <v>36</v>
      </c>
      <c r="AI9" s="45" t="s">
        <v>37</v>
      </c>
      <c r="AJ9" s="45" t="s">
        <v>38</v>
      </c>
      <c r="AK9" s="45" t="s">
        <v>39</v>
      </c>
      <c r="AL9" s="45" t="s">
        <v>40</v>
      </c>
      <c r="AM9" s="45" t="s">
        <v>41</v>
      </c>
      <c r="AN9" s="45" t="s">
        <v>42</v>
      </c>
      <c r="AO9" s="45" t="s">
        <v>43</v>
      </c>
      <c r="AP9" s="45" t="s">
        <v>44</v>
      </c>
      <c r="AQ9" s="45" t="s">
        <v>45</v>
      </c>
      <c r="AR9" s="45" t="s">
        <v>46</v>
      </c>
      <c r="AS9" s="45" t="s">
        <v>47</v>
      </c>
      <c r="AT9" s="45" t="s">
        <v>48</v>
      </c>
      <c r="AU9" s="45" t="s">
        <v>49</v>
      </c>
      <c r="AV9" s="45" t="s">
        <v>50</v>
      </c>
      <c r="AW9" s="45" t="s">
        <v>51</v>
      </c>
      <c r="AX9" s="45" t="s">
        <v>52</v>
      </c>
      <c r="AY9" s="45" t="s">
        <v>53</v>
      </c>
      <c r="AZ9" s="39" t="s">
        <v>54</v>
      </c>
      <c r="BA9" s="39" t="s">
        <v>55</v>
      </c>
      <c r="BB9" s="39" t="s">
        <v>56</v>
      </c>
      <c r="BC9" s="39" t="s">
        <v>57</v>
      </c>
      <c r="BD9" s="39" t="s">
        <v>58</v>
      </c>
      <c r="BE9" s="39" t="s">
        <v>59</v>
      </c>
      <c r="BF9" s="39" t="s">
        <v>60</v>
      </c>
      <c r="BG9" s="39" t="s">
        <v>61</v>
      </c>
      <c r="BH9" s="39" t="s">
        <v>62</v>
      </c>
      <c r="BI9" s="39" t="s">
        <v>63</v>
      </c>
      <c r="BJ9" s="39" t="s">
        <v>64</v>
      </c>
      <c r="BK9" s="39" t="s">
        <v>65</v>
      </c>
      <c r="BL9" s="39" t="s">
        <v>66</v>
      </c>
      <c r="BM9" s="39" t="s">
        <v>67</v>
      </c>
      <c r="BN9" s="39" t="s">
        <v>68</v>
      </c>
      <c r="BO9" s="39" t="s">
        <v>69</v>
      </c>
      <c r="BP9" s="39" t="s">
        <v>70</v>
      </c>
      <c r="BQ9" s="39" t="s">
        <v>71</v>
      </c>
      <c r="BR9" s="39" t="s">
        <v>72</v>
      </c>
      <c r="BS9" s="39" t="s">
        <v>73</v>
      </c>
      <c r="BT9" s="39" t="s">
        <v>74</v>
      </c>
      <c r="BU9" s="39" t="s">
        <v>75</v>
      </c>
      <c r="BV9" s="39" t="s">
        <v>76</v>
      </c>
      <c r="BW9" s="39" t="s">
        <v>77</v>
      </c>
      <c r="BX9" s="39" t="s">
        <v>78</v>
      </c>
      <c r="BY9" s="39" t="s">
        <v>79</v>
      </c>
      <c r="BZ9" s="39" t="s">
        <v>80</v>
      </c>
      <c r="CA9" s="39" t="s">
        <v>81</v>
      </c>
      <c r="CB9" s="39" t="s">
        <v>82</v>
      </c>
      <c r="CC9" s="39" t="s">
        <v>83</v>
      </c>
      <c r="CD9" s="39" t="s">
        <v>84</v>
      </c>
      <c r="CE9" s="39" t="s">
        <v>85</v>
      </c>
      <c r="CF9" s="39" t="s">
        <v>86</v>
      </c>
      <c r="CG9" s="39" t="s">
        <v>87</v>
      </c>
      <c r="CH9" s="39" t="s">
        <v>88</v>
      </c>
      <c r="CI9" s="39" t="s">
        <v>89</v>
      </c>
      <c r="CJ9" s="39" t="s">
        <v>90</v>
      </c>
      <c r="CK9" s="39" t="s">
        <v>91</v>
      </c>
      <c r="CL9" s="39" t="s">
        <v>92</v>
      </c>
      <c r="CM9" s="39" t="s">
        <v>93</v>
      </c>
      <c r="CN9" s="39" t="s">
        <v>94</v>
      </c>
      <c r="CO9" s="39" t="s">
        <v>95</v>
      </c>
      <c r="CP9" s="39" t="s">
        <v>96</v>
      </c>
      <c r="CQ9" s="39" t="s">
        <v>97</v>
      </c>
      <c r="CR9" s="39" t="s">
        <v>98</v>
      </c>
      <c r="CS9" s="39" t="s">
        <v>99</v>
      </c>
      <c r="CT9" s="39" t="s">
        <v>100</v>
      </c>
      <c r="CU9" s="39" t="s">
        <v>101</v>
      </c>
      <c r="CV9" s="39" t="s">
        <v>102</v>
      </c>
      <c r="CW9" s="39" t="s">
        <v>103</v>
      </c>
      <c r="CX9" s="39" t="s">
        <v>104</v>
      </c>
      <c r="CY9" s="39" t="s">
        <v>105</v>
      </c>
      <c r="CZ9" s="39" t="s">
        <v>106</v>
      </c>
      <c r="DA9" s="39" t="s">
        <v>107</v>
      </c>
      <c r="DB9" s="39" t="s">
        <v>108</v>
      </c>
      <c r="DC9" s="39" t="s">
        <v>109</v>
      </c>
      <c r="DD9" s="39" t="s">
        <v>110</v>
      </c>
      <c r="DE9" s="39" t="s">
        <v>111</v>
      </c>
      <c r="DF9" s="39" t="s">
        <v>112</v>
      </c>
      <c r="DG9" s="39" t="s">
        <v>113</v>
      </c>
      <c r="DH9" s="39" t="s">
        <v>114</v>
      </c>
      <c r="DI9" s="39" t="s">
        <v>115</v>
      </c>
      <c r="DJ9" s="39" t="s">
        <v>116</v>
      </c>
      <c r="DK9" s="39" t="s">
        <v>117</v>
      </c>
      <c r="DL9" s="39" t="s">
        <v>118</v>
      </c>
      <c r="DM9" s="39" t="s">
        <v>119</v>
      </c>
      <c r="DN9" s="39" t="s">
        <v>120</v>
      </c>
      <c r="DO9" s="39" t="s">
        <v>121</v>
      </c>
      <c r="DP9" s="39" t="s">
        <v>122</v>
      </c>
      <c r="DQ9" s="39" t="s">
        <v>123</v>
      </c>
      <c r="DR9" s="39" t="s">
        <v>124</v>
      </c>
      <c r="DS9" s="39" t="s">
        <v>125</v>
      </c>
      <c r="DT9" s="39" t="s">
        <v>126</v>
      </c>
      <c r="DU9" s="39" t="s">
        <v>127</v>
      </c>
      <c r="DV9" s="39" t="s">
        <v>128</v>
      </c>
      <c r="DW9" s="39" t="s">
        <v>129</v>
      </c>
      <c r="DX9" s="39" t="s">
        <v>130</v>
      </c>
      <c r="DY9" s="39" t="s">
        <v>131</v>
      </c>
      <c r="DZ9" s="39" t="s">
        <v>132</v>
      </c>
      <c r="EA9" s="39" t="s">
        <v>133</v>
      </c>
      <c r="EB9" s="39" t="s">
        <v>134</v>
      </c>
      <c r="EC9" s="39" t="s">
        <v>135</v>
      </c>
      <c r="ED9" s="39" t="s">
        <v>136</v>
      </c>
      <c r="EE9" s="39" t="s">
        <v>137</v>
      </c>
      <c r="EF9" s="39" t="s">
        <v>138</v>
      </c>
      <c r="EG9" s="39" t="s">
        <v>139</v>
      </c>
      <c r="EH9" s="39" t="s">
        <v>140</v>
      </c>
      <c r="EI9" s="39" t="s">
        <v>141</v>
      </c>
      <c r="EJ9" s="39" t="s">
        <v>142</v>
      </c>
      <c r="EK9" s="39" t="s">
        <v>143</v>
      </c>
      <c r="EL9" s="39" t="s">
        <v>144</v>
      </c>
      <c r="EM9" s="39" t="s">
        <v>145</v>
      </c>
      <c r="EN9" s="39" t="s">
        <v>146</v>
      </c>
      <c r="EO9" s="39" t="s">
        <v>147</v>
      </c>
      <c r="EP9" s="39" t="s">
        <v>148</v>
      </c>
      <c r="EQ9" s="39" t="s">
        <v>149</v>
      </c>
      <c r="ER9" s="39" t="s">
        <v>150</v>
      </c>
      <c r="ES9" s="39" t="s">
        <v>151</v>
      </c>
      <c r="ET9" s="39" t="s">
        <v>152</v>
      </c>
      <c r="EU9" s="39" t="s">
        <v>153</v>
      </c>
      <c r="EV9" s="39" t="s">
        <v>154</v>
      </c>
      <c r="EW9" s="39" t="s">
        <v>155</v>
      </c>
      <c r="EX9" s="39" t="s">
        <v>156</v>
      </c>
      <c r="EY9" s="39" t="s">
        <v>157</v>
      </c>
      <c r="EZ9" s="39" t="s">
        <v>158</v>
      </c>
      <c r="FA9" s="39" t="s">
        <v>159</v>
      </c>
      <c r="FB9" s="39" t="s">
        <v>160</v>
      </c>
      <c r="FC9" s="39" t="s">
        <v>161</v>
      </c>
      <c r="FD9" s="39" t="s">
        <v>162</v>
      </c>
    </row>
    <row r="10" spans="2:160" ht="15" thickBot="1" x14ac:dyDescent="0.35">
      <c r="B10" s="41" t="s">
        <v>163</v>
      </c>
      <c r="C10" s="42"/>
      <c r="D10" s="52"/>
      <c r="E10" s="52"/>
      <c r="F10" s="52"/>
      <c r="G10" s="52"/>
      <c r="H10" s="52"/>
      <c r="I10" s="5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</row>
    <row r="11" spans="2:160" x14ac:dyDescent="0.3">
      <c r="B11" s="2">
        <v>0</v>
      </c>
      <c r="C11" s="3">
        <v>0.25</v>
      </c>
      <c r="D11" s="10">
        <v>11.99</v>
      </c>
      <c r="E11" s="35">
        <v>12.49</v>
      </c>
      <c r="F11" s="11">
        <v>12.99</v>
      </c>
      <c r="G11" s="11">
        <v>13.99</v>
      </c>
      <c r="H11" s="11">
        <v>15</v>
      </c>
      <c r="I11" s="13">
        <v>15.99</v>
      </c>
      <c r="J11" s="30">
        <v>11.99</v>
      </c>
      <c r="K11" s="7">
        <v>12.49</v>
      </c>
      <c r="L11" s="4">
        <v>12.99</v>
      </c>
      <c r="M11" s="4">
        <v>13.99</v>
      </c>
      <c r="N11" s="4">
        <v>15</v>
      </c>
      <c r="O11" s="5">
        <v>15.99</v>
      </c>
      <c r="P11" s="7">
        <v>18.939870967741935</v>
      </c>
      <c r="Q11" s="4">
        <v>19.210838709677418</v>
      </c>
      <c r="R11" s="4">
        <v>19.495354838709677</v>
      </c>
      <c r="S11" s="4">
        <v>19.794096774193548</v>
      </c>
      <c r="T11" s="4">
        <v>20.107775806451613</v>
      </c>
      <c r="U11" s="5">
        <v>20.437138790322578</v>
      </c>
      <c r="V11" s="7">
        <v>18.74632258064516</v>
      </c>
      <c r="W11" s="4">
        <v>19.007612903225805</v>
      </c>
      <c r="X11" s="4">
        <v>19.281967741935485</v>
      </c>
      <c r="Y11" s="4">
        <v>19.570040322580645</v>
      </c>
      <c r="Z11" s="4">
        <v>19.872516532258064</v>
      </c>
      <c r="AA11" s="5">
        <v>20.190116552419354</v>
      </c>
      <c r="AB11" s="7">
        <v>18.939870967741935</v>
      </c>
      <c r="AC11" s="4">
        <v>19.210838709677418</v>
      </c>
      <c r="AD11" s="4">
        <v>19.495354838709677</v>
      </c>
      <c r="AE11" s="4">
        <v>19.794096774193548</v>
      </c>
      <c r="AF11" s="4">
        <v>20.452822741935485</v>
      </c>
      <c r="AG11" s="5">
        <v>20.799438072580646</v>
      </c>
      <c r="AH11" s="7">
        <v>18.939870967741935</v>
      </c>
      <c r="AI11" s="4">
        <v>19.210838709677418</v>
      </c>
      <c r="AJ11" s="4">
        <v>19.495354838709677</v>
      </c>
      <c r="AK11" s="4">
        <v>19.794096774193548</v>
      </c>
      <c r="AL11" s="4">
        <v>20.107775806451613</v>
      </c>
      <c r="AM11" s="5">
        <v>20.437138790322578</v>
      </c>
      <c r="AN11" s="7">
        <v>13</v>
      </c>
      <c r="AO11" s="4">
        <v>13.45</v>
      </c>
      <c r="AP11" s="4">
        <v>14.89</v>
      </c>
      <c r="AQ11" s="4">
        <v>15</v>
      </c>
      <c r="AR11" s="4">
        <v>15.99</v>
      </c>
      <c r="AS11" s="5">
        <v>16.89</v>
      </c>
      <c r="AT11" s="7">
        <v>18.74632258064516</v>
      </c>
      <c r="AU11" s="4">
        <v>19.007612903225805</v>
      </c>
      <c r="AV11" s="4">
        <v>19.281967741935485</v>
      </c>
      <c r="AW11" s="4">
        <v>19.570040322580645</v>
      </c>
      <c r="AX11" s="4">
        <v>19.872516532258064</v>
      </c>
      <c r="AY11" s="5">
        <v>20.190116552419354</v>
      </c>
      <c r="AZ11" s="7">
        <v>18.74632258064516</v>
      </c>
      <c r="BA11" s="4">
        <v>19.007612903225805</v>
      </c>
      <c r="BB11" s="4">
        <v>19.281967741935485</v>
      </c>
      <c r="BC11" s="4">
        <v>19.570040322580645</v>
      </c>
      <c r="BD11" s="4">
        <v>19.872516532258064</v>
      </c>
      <c r="BE11" s="5">
        <v>20.190116552419354</v>
      </c>
      <c r="BF11" s="7">
        <v>18.74632258064516</v>
      </c>
      <c r="BG11" s="4">
        <v>19.007612903225805</v>
      </c>
      <c r="BH11" s="4">
        <v>19.281967741935485</v>
      </c>
      <c r="BI11" s="4">
        <v>19.570040322580645</v>
      </c>
      <c r="BJ11" s="4">
        <v>19.872516532258064</v>
      </c>
      <c r="BK11" s="5">
        <v>20.190116552419354</v>
      </c>
      <c r="BL11" s="7">
        <v>18.74632258064516</v>
      </c>
      <c r="BM11" s="4">
        <v>19.007612903225805</v>
      </c>
      <c r="BN11" s="4">
        <v>19.281967741935485</v>
      </c>
      <c r="BO11" s="4">
        <v>19.570040322580645</v>
      </c>
      <c r="BP11" s="4">
        <v>19.872516532258064</v>
      </c>
      <c r="BQ11" s="5">
        <v>20.190116552419354</v>
      </c>
      <c r="BR11" s="7">
        <v>18.74632258064516</v>
      </c>
      <c r="BS11" s="4">
        <v>19.007612903225805</v>
      </c>
      <c r="BT11" s="4">
        <v>19.281967741935485</v>
      </c>
      <c r="BU11" s="4">
        <v>19.570040322580645</v>
      </c>
      <c r="BV11" s="4">
        <v>19.872516532258064</v>
      </c>
      <c r="BW11" s="5">
        <v>20.190116552419354</v>
      </c>
      <c r="BX11" s="7">
        <v>18.74632258064516</v>
      </c>
      <c r="BY11" s="4">
        <v>19.007612903225805</v>
      </c>
      <c r="BZ11" s="4">
        <v>19.281967741935485</v>
      </c>
      <c r="CA11" s="4">
        <v>19.570040322580645</v>
      </c>
      <c r="CB11" s="4">
        <v>19.872516532258064</v>
      </c>
      <c r="CC11" s="5">
        <v>20.190116552419354</v>
      </c>
      <c r="CD11" s="7">
        <v>18.74632258064516</v>
      </c>
      <c r="CE11" s="4">
        <v>19.007612903225805</v>
      </c>
      <c r="CF11" s="4">
        <v>19.281967741935485</v>
      </c>
      <c r="CG11" s="4">
        <v>19.570040322580645</v>
      </c>
      <c r="CH11" s="4">
        <v>19.872516532258064</v>
      </c>
      <c r="CI11" s="5">
        <v>20.190116552419354</v>
      </c>
      <c r="CJ11" s="7">
        <v>18.74632258064516</v>
      </c>
      <c r="CK11" s="4">
        <v>19.007612903225805</v>
      </c>
      <c r="CL11" s="4">
        <v>19.281967741935485</v>
      </c>
      <c r="CM11" s="4">
        <v>19.570040322580645</v>
      </c>
      <c r="CN11" s="4">
        <v>19.872516532258064</v>
      </c>
      <c r="CO11" s="5">
        <v>20.190116552419354</v>
      </c>
      <c r="CP11" s="7">
        <v>18.74632258064516</v>
      </c>
      <c r="CQ11" s="4">
        <v>19.007612903225805</v>
      </c>
      <c r="CR11" s="4">
        <v>19.281967741935485</v>
      </c>
      <c r="CS11" s="4">
        <v>19.570040322580645</v>
      </c>
      <c r="CT11" s="4">
        <v>19.872516532258064</v>
      </c>
      <c r="CU11" s="6">
        <v>20.190116552419354</v>
      </c>
      <c r="CV11" s="7">
        <v>12</v>
      </c>
      <c r="CW11" s="4">
        <v>12</v>
      </c>
      <c r="CX11" s="4">
        <v>12</v>
      </c>
      <c r="CY11" s="4">
        <v>15.209770588235292</v>
      </c>
      <c r="CZ11" s="4">
        <v>15.430400294117645</v>
      </c>
      <c r="DA11" s="5">
        <v>15.662061485294116</v>
      </c>
      <c r="DB11" s="7">
        <v>15.879529411764704</v>
      </c>
      <c r="DC11" s="4">
        <v>16.133647058823531</v>
      </c>
      <c r="DD11" s="4">
        <v>16.400470588235294</v>
      </c>
      <c r="DE11" s="4">
        <v>17.240964705882355</v>
      </c>
      <c r="DF11" s="4">
        <v>18.207532941176471</v>
      </c>
      <c r="DG11" s="5">
        <v>19.319086411764705</v>
      </c>
      <c r="DH11" s="7">
        <v>15.879529411764704</v>
      </c>
      <c r="DI11" s="4">
        <v>16.133647058823531</v>
      </c>
      <c r="DJ11" s="4">
        <v>16.400470588235294</v>
      </c>
      <c r="DK11" s="4">
        <v>17.240964705882355</v>
      </c>
      <c r="DL11" s="4">
        <v>18.207532941176471</v>
      </c>
      <c r="DM11" s="6">
        <v>19.319086411764705</v>
      </c>
      <c r="DN11" s="8">
        <v>18.896639999999998</v>
      </c>
      <c r="DO11" s="4">
        <v>19.521712941176471</v>
      </c>
      <c r="DP11" s="4">
        <v>19.844569411764706</v>
      </c>
      <c r="DQ11" s="4">
        <v>20.861567294117648</v>
      </c>
      <c r="DR11" s="6">
        <v>21.666964199999999</v>
      </c>
      <c r="DS11" s="9">
        <v>22.603331101764706</v>
      </c>
      <c r="DT11" s="10">
        <v>22.675967999999997</v>
      </c>
      <c r="DU11" s="11">
        <v>23.426055529411766</v>
      </c>
      <c r="DV11" s="11">
        <v>23.813483294117646</v>
      </c>
      <c r="DW11" s="11">
        <v>24.408033734117648</v>
      </c>
      <c r="DX11" s="12">
        <v>25.783687397999998</v>
      </c>
      <c r="DY11" s="13">
        <v>26.897964011100001</v>
      </c>
      <c r="DZ11" s="10">
        <v>22.675967999999997</v>
      </c>
      <c r="EA11" s="11">
        <v>23.426055529411766</v>
      </c>
      <c r="EB11" s="11">
        <v>23.813483294117646</v>
      </c>
      <c r="EC11" s="11">
        <v>24.408033734117648</v>
      </c>
      <c r="ED11" s="12">
        <v>25.783687397999998</v>
      </c>
      <c r="EE11" s="13">
        <v>26.897964011100001</v>
      </c>
      <c r="EF11" s="7">
        <v>15.879529411764704</v>
      </c>
      <c r="EG11" s="4">
        <v>16.133647058823531</v>
      </c>
      <c r="EH11" s="4">
        <v>16.400470588235294</v>
      </c>
      <c r="EI11" s="4">
        <v>17.240964705882355</v>
      </c>
      <c r="EJ11" s="4">
        <v>18.207532941176471</v>
      </c>
      <c r="EK11" s="5">
        <v>19.319086411764705</v>
      </c>
      <c r="EL11" s="29">
        <v>19</v>
      </c>
      <c r="EM11" s="30">
        <v>20</v>
      </c>
      <c r="EN11" s="4">
        <v>21</v>
      </c>
      <c r="EO11" s="4">
        <v>22</v>
      </c>
      <c r="EP11" s="4">
        <v>23.99</v>
      </c>
      <c r="EQ11" s="4">
        <v>24.99</v>
      </c>
      <c r="ER11" s="5">
        <v>25.99</v>
      </c>
      <c r="ES11" s="10">
        <v>18.939870967741935</v>
      </c>
      <c r="ET11" s="11">
        <v>19.210838709677418</v>
      </c>
      <c r="EU11" s="11">
        <v>19.495354838709677</v>
      </c>
      <c r="EV11" s="11">
        <v>20.092838709677423</v>
      </c>
      <c r="EW11" s="12">
        <v>20.750070967741934</v>
      </c>
      <c r="EX11" s="13">
        <v>21.473026451612903</v>
      </c>
      <c r="EY11" s="7">
        <v>20.488258064516124</v>
      </c>
      <c r="EZ11" s="4">
        <v>20.836645161290321</v>
      </c>
      <c r="FA11" s="4">
        <v>21.202451612903225</v>
      </c>
      <c r="FB11" s="4">
        <v>22.354741935483872</v>
      </c>
      <c r="FC11" s="4">
        <v>23.679875806451612</v>
      </c>
      <c r="FD11" s="5">
        <v>25.20377975806451</v>
      </c>
    </row>
    <row r="12" spans="2:160" x14ac:dyDescent="0.3">
      <c r="B12" s="2">
        <v>0.251</v>
      </c>
      <c r="C12" s="3">
        <v>0.5</v>
      </c>
      <c r="D12" s="8">
        <v>12.49</v>
      </c>
      <c r="E12" s="7">
        <v>12.99</v>
      </c>
      <c r="F12" s="4">
        <v>13.99</v>
      </c>
      <c r="G12" s="4">
        <v>15</v>
      </c>
      <c r="H12" s="4">
        <v>15.99</v>
      </c>
      <c r="I12" s="9">
        <v>17</v>
      </c>
      <c r="J12" s="30">
        <v>12.49</v>
      </c>
      <c r="K12" s="7">
        <v>12.99</v>
      </c>
      <c r="L12" s="4">
        <v>13.99</v>
      </c>
      <c r="M12" s="4">
        <v>15</v>
      </c>
      <c r="N12" s="4">
        <v>15.99</v>
      </c>
      <c r="O12" s="5">
        <v>17</v>
      </c>
      <c r="P12" s="7">
        <v>19.714064516129035</v>
      </c>
      <c r="Q12" s="4">
        <v>20.023741935483873</v>
      </c>
      <c r="R12" s="4">
        <v>20.348903225806453</v>
      </c>
      <c r="S12" s="4">
        <v>20.690322580645159</v>
      </c>
      <c r="T12" s="4">
        <v>21.048812903225809</v>
      </c>
      <c r="U12" s="5">
        <v>21.425227741935487</v>
      </c>
      <c r="V12" s="7">
        <v>19.520516129032256</v>
      </c>
      <c r="W12" s="4">
        <v>19.820516129032256</v>
      </c>
      <c r="X12" s="4">
        <v>20.135516129032254</v>
      </c>
      <c r="Y12" s="4">
        <v>20.466266129032256</v>
      </c>
      <c r="Z12" s="4">
        <v>20.813553629032256</v>
      </c>
      <c r="AA12" s="5">
        <v>21.178205504032256</v>
      </c>
      <c r="AB12" s="7">
        <v>19.714064516129035</v>
      </c>
      <c r="AC12" s="4">
        <v>20.023741935483873</v>
      </c>
      <c r="AD12" s="4">
        <v>20.348903225806453</v>
      </c>
      <c r="AE12" s="4">
        <v>20.690322580645159</v>
      </c>
      <c r="AF12" s="4">
        <v>21.443152258064519</v>
      </c>
      <c r="AG12" s="5">
        <v>21.839284064516132</v>
      </c>
      <c r="AH12" s="7">
        <v>19.714064516129035</v>
      </c>
      <c r="AI12" s="4">
        <v>20.023741935483873</v>
      </c>
      <c r="AJ12" s="4">
        <v>20.348903225806453</v>
      </c>
      <c r="AK12" s="4">
        <v>20.690322580645159</v>
      </c>
      <c r="AL12" s="4">
        <v>21.048812903225809</v>
      </c>
      <c r="AM12" s="5">
        <v>21.425227741935487</v>
      </c>
      <c r="AN12" s="7">
        <v>13.45</v>
      </c>
      <c r="AO12" s="4">
        <v>14.89</v>
      </c>
      <c r="AP12" s="4">
        <v>15</v>
      </c>
      <c r="AQ12" s="4">
        <v>15.99</v>
      </c>
      <c r="AR12" s="4">
        <v>16.89</v>
      </c>
      <c r="AS12" s="5">
        <v>17.989999999999998</v>
      </c>
      <c r="AT12" s="7">
        <v>19.520516129032256</v>
      </c>
      <c r="AU12" s="4">
        <v>19.820516129032256</v>
      </c>
      <c r="AV12" s="4">
        <v>20.135516129032254</v>
      </c>
      <c r="AW12" s="4">
        <v>20.466266129032256</v>
      </c>
      <c r="AX12" s="4">
        <v>20.813553629032256</v>
      </c>
      <c r="AY12" s="5">
        <v>21.178205504032256</v>
      </c>
      <c r="AZ12" s="7">
        <v>19.520516129032256</v>
      </c>
      <c r="BA12" s="4">
        <v>19.820516129032256</v>
      </c>
      <c r="BB12" s="4">
        <v>20.135516129032254</v>
      </c>
      <c r="BC12" s="4">
        <v>20.466266129032256</v>
      </c>
      <c r="BD12" s="4">
        <v>20.813553629032256</v>
      </c>
      <c r="BE12" s="5">
        <v>21.178205504032256</v>
      </c>
      <c r="BF12" s="7">
        <v>19.520516129032256</v>
      </c>
      <c r="BG12" s="4">
        <v>19.820516129032256</v>
      </c>
      <c r="BH12" s="4">
        <v>20.135516129032254</v>
      </c>
      <c r="BI12" s="4">
        <v>20.466266129032256</v>
      </c>
      <c r="BJ12" s="4">
        <v>20.813553629032256</v>
      </c>
      <c r="BK12" s="5">
        <v>21.178205504032256</v>
      </c>
      <c r="BL12" s="7">
        <v>19.520516129032256</v>
      </c>
      <c r="BM12" s="4">
        <v>19.820516129032256</v>
      </c>
      <c r="BN12" s="4">
        <v>20.135516129032254</v>
      </c>
      <c r="BO12" s="4">
        <v>20.466266129032256</v>
      </c>
      <c r="BP12" s="4">
        <v>20.813553629032256</v>
      </c>
      <c r="BQ12" s="5">
        <v>21.178205504032256</v>
      </c>
      <c r="BR12" s="7">
        <v>19.520516129032256</v>
      </c>
      <c r="BS12" s="4">
        <v>19.820516129032256</v>
      </c>
      <c r="BT12" s="4">
        <v>20.135516129032254</v>
      </c>
      <c r="BU12" s="4">
        <v>20.466266129032256</v>
      </c>
      <c r="BV12" s="4">
        <v>20.813553629032256</v>
      </c>
      <c r="BW12" s="5">
        <v>21.178205504032256</v>
      </c>
      <c r="BX12" s="7">
        <v>19.520516129032256</v>
      </c>
      <c r="BY12" s="4">
        <v>19.820516129032256</v>
      </c>
      <c r="BZ12" s="4">
        <v>20.135516129032254</v>
      </c>
      <c r="CA12" s="4">
        <v>20.466266129032256</v>
      </c>
      <c r="CB12" s="4">
        <v>20.813553629032256</v>
      </c>
      <c r="CC12" s="5">
        <v>21.178205504032256</v>
      </c>
      <c r="CD12" s="7">
        <v>19.520516129032256</v>
      </c>
      <c r="CE12" s="4">
        <v>19.820516129032256</v>
      </c>
      <c r="CF12" s="4">
        <v>20.135516129032254</v>
      </c>
      <c r="CG12" s="4">
        <v>20.466266129032256</v>
      </c>
      <c r="CH12" s="4">
        <v>20.813553629032256</v>
      </c>
      <c r="CI12" s="5">
        <v>21.178205504032256</v>
      </c>
      <c r="CJ12" s="7">
        <v>19.520516129032256</v>
      </c>
      <c r="CK12" s="4">
        <v>19.820516129032256</v>
      </c>
      <c r="CL12" s="4">
        <v>20.135516129032254</v>
      </c>
      <c r="CM12" s="4">
        <v>20.466266129032256</v>
      </c>
      <c r="CN12" s="4">
        <v>20.813553629032256</v>
      </c>
      <c r="CO12" s="5">
        <v>21.178205504032256</v>
      </c>
      <c r="CP12" s="7">
        <v>19.520516129032256</v>
      </c>
      <c r="CQ12" s="4">
        <v>19.820516129032256</v>
      </c>
      <c r="CR12" s="4">
        <v>20.135516129032254</v>
      </c>
      <c r="CS12" s="4">
        <v>20.466266129032256</v>
      </c>
      <c r="CT12" s="4">
        <v>20.813553629032256</v>
      </c>
      <c r="CU12" s="6">
        <v>21.178205504032256</v>
      </c>
      <c r="CV12" s="7">
        <v>12</v>
      </c>
      <c r="CW12" s="4">
        <v>12</v>
      </c>
      <c r="CX12" s="4">
        <v>12</v>
      </c>
      <c r="CY12" s="4">
        <v>15.863488235294117</v>
      </c>
      <c r="CZ12" s="4">
        <v>16.116803823529409</v>
      </c>
      <c r="DA12" s="5">
        <v>16.38278519117647</v>
      </c>
      <c r="DB12" s="7">
        <v>16.444235294117647</v>
      </c>
      <c r="DC12" s="4">
        <v>16.726588235294116</v>
      </c>
      <c r="DD12" s="4">
        <v>17.023058823529411</v>
      </c>
      <c r="DE12" s="4">
        <v>17.956941176470586</v>
      </c>
      <c r="DF12" s="4">
        <v>19.03090588235294</v>
      </c>
      <c r="DG12" s="5">
        <v>20.265965294117645</v>
      </c>
      <c r="DH12" s="7">
        <v>16.444235294117647</v>
      </c>
      <c r="DI12" s="4">
        <v>16.726588235294116</v>
      </c>
      <c r="DJ12" s="4">
        <v>17.023058823529411</v>
      </c>
      <c r="DK12" s="4">
        <v>17.956941176470586</v>
      </c>
      <c r="DL12" s="4">
        <v>19.03090588235294</v>
      </c>
      <c r="DM12" s="6">
        <v>20.265965294117645</v>
      </c>
      <c r="DN12" s="8">
        <v>19.568639999999998</v>
      </c>
      <c r="DO12" s="4">
        <v>20.23917176470588</v>
      </c>
      <c r="DP12" s="4">
        <v>20.597901176470586</v>
      </c>
      <c r="DQ12" s="4">
        <v>21.727898823529408</v>
      </c>
      <c r="DR12" s="6">
        <v>22.646777999999998</v>
      </c>
      <c r="DS12" s="9">
        <v>23.711179394117647</v>
      </c>
      <c r="DT12" s="8">
        <v>23.482367999999997</v>
      </c>
      <c r="DU12" s="4">
        <v>24.287006117647056</v>
      </c>
      <c r="DV12" s="4">
        <v>24.717481411764702</v>
      </c>
      <c r="DW12" s="4">
        <v>25.42164162352941</v>
      </c>
      <c r="DX12" s="6">
        <v>26.949665819999996</v>
      </c>
      <c r="DY12" s="9">
        <v>28.216303479</v>
      </c>
      <c r="DZ12" s="8">
        <v>23.482367999999997</v>
      </c>
      <c r="EA12" s="4">
        <v>24.287006117647056</v>
      </c>
      <c r="EB12" s="4">
        <v>24.717481411764702</v>
      </c>
      <c r="EC12" s="4">
        <v>25.42164162352941</v>
      </c>
      <c r="ED12" s="6">
        <v>26.949665819999996</v>
      </c>
      <c r="EE12" s="9">
        <v>28.216303479</v>
      </c>
      <c r="EF12" s="7">
        <v>16.444235294117647</v>
      </c>
      <c r="EG12" s="4">
        <v>16.726588235294116</v>
      </c>
      <c r="EH12" s="4">
        <v>17.023058823529411</v>
      </c>
      <c r="EI12" s="4">
        <v>17.956941176470586</v>
      </c>
      <c r="EJ12" s="4">
        <v>19.03090588235294</v>
      </c>
      <c r="EK12" s="5">
        <v>20.265965294117645</v>
      </c>
      <c r="EL12" s="29">
        <v>20</v>
      </c>
      <c r="EM12" s="30">
        <v>21</v>
      </c>
      <c r="EN12" s="4">
        <v>22</v>
      </c>
      <c r="EO12" s="4">
        <v>23.99</v>
      </c>
      <c r="EP12" s="4">
        <v>24.99</v>
      </c>
      <c r="EQ12" s="4">
        <v>25.99</v>
      </c>
      <c r="ER12" s="5">
        <v>26.99</v>
      </c>
      <c r="ES12" s="8">
        <v>19.714064516129035</v>
      </c>
      <c r="ET12" s="4">
        <v>20.023741935483873</v>
      </c>
      <c r="EU12" s="4">
        <v>20.348903225806453</v>
      </c>
      <c r="EV12" s="4">
        <v>21.031741935483872</v>
      </c>
      <c r="EW12" s="6">
        <v>21.782864516129035</v>
      </c>
      <c r="EX12" s="9">
        <v>22.609099354838712</v>
      </c>
      <c r="EY12" s="7">
        <v>21.262451612903227</v>
      </c>
      <c r="EZ12" s="4">
        <v>21.649548387096772</v>
      </c>
      <c r="FA12" s="4">
        <v>22.055999999999997</v>
      </c>
      <c r="FB12" s="4">
        <v>23.33632258064516</v>
      </c>
      <c r="FC12" s="4">
        <v>24.808693548387094</v>
      </c>
      <c r="FD12" s="5">
        <v>26.501920161290315</v>
      </c>
    </row>
    <row r="13" spans="2:160" x14ac:dyDescent="0.3">
      <c r="B13" s="2">
        <v>0.501</v>
      </c>
      <c r="C13" s="3">
        <v>0.75</v>
      </c>
      <c r="D13" s="8">
        <v>12.99</v>
      </c>
      <c r="E13" s="7">
        <v>13.99</v>
      </c>
      <c r="F13" s="4">
        <v>15</v>
      </c>
      <c r="G13" s="4">
        <v>15.99</v>
      </c>
      <c r="H13" s="4">
        <v>17</v>
      </c>
      <c r="I13" s="9">
        <v>17.989999999999998</v>
      </c>
      <c r="J13" s="30">
        <v>12.99</v>
      </c>
      <c r="K13" s="7">
        <v>13.99</v>
      </c>
      <c r="L13" s="4">
        <v>15</v>
      </c>
      <c r="M13" s="4">
        <v>15.99</v>
      </c>
      <c r="N13" s="4">
        <v>17</v>
      </c>
      <c r="O13" s="5">
        <v>17.989999999999998</v>
      </c>
      <c r="P13" s="7">
        <v>20.875354838709676</v>
      </c>
      <c r="Q13" s="4">
        <v>21.24309677419355</v>
      </c>
      <c r="R13" s="4">
        <v>21.629225806451608</v>
      </c>
      <c r="S13" s="4">
        <v>22.034661290322578</v>
      </c>
      <c r="T13" s="4">
        <v>22.460368548387095</v>
      </c>
      <c r="U13" s="5">
        <v>22.907361169354836</v>
      </c>
      <c r="V13" s="7">
        <v>20.6818064516129</v>
      </c>
      <c r="W13" s="4">
        <v>21.039870967741933</v>
      </c>
      <c r="X13" s="4">
        <v>21.415838709677416</v>
      </c>
      <c r="Y13" s="4">
        <v>21.810604838709679</v>
      </c>
      <c r="Z13" s="4">
        <v>22.225109274193546</v>
      </c>
      <c r="AA13" s="5">
        <v>22.660338931451612</v>
      </c>
      <c r="AB13" s="7">
        <v>20.875354838709676</v>
      </c>
      <c r="AC13" s="4">
        <v>21.24309677419355</v>
      </c>
      <c r="AD13" s="4">
        <v>21.629225806451608</v>
      </c>
      <c r="AE13" s="4">
        <v>22.034661290322578</v>
      </c>
      <c r="AF13" s="4">
        <v>22.92864653225806</v>
      </c>
      <c r="AG13" s="5">
        <v>23.399053052419351</v>
      </c>
      <c r="AH13" s="7">
        <v>20.875354838709676</v>
      </c>
      <c r="AI13" s="4">
        <v>21.24309677419355</v>
      </c>
      <c r="AJ13" s="4">
        <v>21.629225806451608</v>
      </c>
      <c r="AK13" s="4">
        <v>22.034661290322578</v>
      </c>
      <c r="AL13" s="4">
        <v>22.460368548387095</v>
      </c>
      <c r="AM13" s="5">
        <v>22.907361169354836</v>
      </c>
      <c r="AN13" s="7">
        <v>14.89</v>
      </c>
      <c r="AO13" s="4">
        <v>15</v>
      </c>
      <c r="AP13" s="4">
        <v>15.99</v>
      </c>
      <c r="AQ13" s="4">
        <v>16.89</v>
      </c>
      <c r="AR13" s="4">
        <v>17.989999999999998</v>
      </c>
      <c r="AS13" s="5">
        <v>19</v>
      </c>
      <c r="AT13" s="7">
        <v>20.6818064516129</v>
      </c>
      <c r="AU13" s="4">
        <v>21.039870967741933</v>
      </c>
      <c r="AV13" s="4">
        <v>21.415838709677416</v>
      </c>
      <c r="AW13" s="4">
        <v>21.810604838709679</v>
      </c>
      <c r="AX13" s="4">
        <v>22.225109274193546</v>
      </c>
      <c r="AY13" s="5">
        <v>22.660338931451612</v>
      </c>
      <c r="AZ13" s="7">
        <v>20.6818064516129</v>
      </c>
      <c r="BA13" s="4">
        <v>21.039870967741933</v>
      </c>
      <c r="BB13" s="4">
        <v>21.415838709677416</v>
      </c>
      <c r="BC13" s="4">
        <v>21.810604838709679</v>
      </c>
      <c r="BD13" s="4">
        <v>22.225109274193546</v>
      </c>
      <c r="BE13" s="5">
        <v>22.660338931451612</v>
      </c>
      <c r="BF13" s="7">
        <v>20.6818064516129</v>
      </c>
      <c r="BG13" s="4">
        <v>21.039870967741933</v>
      </c>
      <c r="BH13" s="4">
        <v>21.415838709677416</v>
      </c>
      <c r="BI13" s="4">
        <v>21.810604838709679</v>
      </c>
      <c r="BJ13" s="4">
        <v>22.225109274193546</v>
      </c>
      <c r="BK13" s="5">
        <v>22.660338931451612</v>
      </c>
      <c r="BL13" s="7">
        <v>20.6818064516129</v>
      </c>
      <c r="BM13" s="4">
        <v>21.039870967741933</v>
      </c>
      <c r="BN13" s="4">
        <v>21.415838709677416</v>
      </c>
      <c r="BO13" s="4">
        <v>21.810604838709679</v>
      </c>
      <c r="BP13" s="4">
        <v>22.225109274193546</v>
      </c>
      <c r="BQ13" s="5">
        <v>22.660338931451612</v>
      </c>
      <c r="BR13" s="7">
        <v>20.6818064516129</v>
      </c>
      <c r="BS13" s="4">
        <v>21.039870967741933</v>
      </c>
      <c r="BT13" s="4">
        <v>21.415838709677416</v>
      </c>
      <c r="BU13" s="4">
        <v>21.810604838709679</v>
      </c>
      <c r="BV13" s="4">
        <v>22.225109274193546</v>
      </c>
      <c r="BW13" s="5">
        <v>22.660338931451612</v>
      </c>
      <c r="BX13" s="7">
        <v>20.6818064516129</v>
      </c>
      <c r="BY13" s="4">
        <v>21.039870967741933</v>
      </c>
      <c r="BZ13" s="4">
        <v>21.415838709677416</v>
      </c>
      <c r="CA13" s="4">
        <v>21.810604838709679</v>
      </c>
      <c r="CB13" s="4">
        <v>22.225109274193546</v>
      </c>
      <c r="CC13" s="5">
        <v>22.660338931451612</v>
      </c>
      <c r="CD13" s="7">
        <v>20.6818064516129</v>
      </c>
      <c r="CE13" s="4">
        <v>21.039870967741933</v>
      </c>
      <c r="CF13" s="4">
        <v>21.415838709677416</v>
      </c>
      <c r="CG13" s="4">
        <v>21.810604838709679</v>
      </c>
      <c r="CH13" s="4">
        <v>22.225109274193546</v>
      </c>
      <c r="CI13" s="5">
        <v>22.660338931451612</v>
      </c>
      <c r="CJ13" s="7">
        <v>20.6818064516129</v>
      </c>
      <c r="CK13" s="4">
        <v>21.039870967741933</v>
      </c>
      <c r="CL13" s="4">
        <v>21.415838709677416</v>
      </c>
      <c r="CM13" s="4">
        <v>21.810604838709679</v>
      </c>
      <c r="CN13" s="4">
        <v>22.225109274193546</v>
      </c>
      <c r="CO13" s="5">
        <v>22.660338931451612</v>
      </c>
      <c r="CP13" s="7">
        <v>20.6818064516129</v>
      </c>
      <c r="CQ13" s="4">
        <v>21.039870967741933</v>
      </c>
      <c r="CR13" s="4">
        <v>21.415838709677416</v>
      </c>
      <c r="CS13" s="4">
        <v>21.810604838709679</v>
      </c>
      <c r="CT13" s="4">
        <v>22.225109274193546</v>
      </c>
      <c r="CU13" s="6">
        <v>22.660338931451612</v>
      </c>
      <c r="CV13" s="7">
        <v>15.80894117647059</v>
      </c>
      <c r="CW13" s="7">
        <v>15.80894117647059</v>
      </c>
      <c r="CX13" s="7">
        <v>15.80894117647059</v>
      </c>
      <c r="CY13" s="4">
        <v>16.844064705882353</v>
      </c>
      <c r="CZ13" s="4">
        <v>17.146409117647057</v>
      </c>
      <c r="DA13" s="5">
        <v>17.463870749999998</v>
      </c>
      <c r="DB13" s="7">
        <v>17.291294117647059</v>
      </c>
      <c r="DC13" s="4">
        <v>17.616</v>
      </c>
      <c r="DD13" s="4">
        <v>17.956941176470586</v>
      </c>
      <c r="DE13" s="4">
        <v>19.030905882352943</v>
      </c>
      <c r="DF13" s="4">
        <v>20.265965294117645</v>
      </c>
      <c r="DG13" s="5">
        <v>21.686283617647057</v>
      </c>
      <c r="DH13" s="7">
        <v>17.291294117647059</v>
      </c>
      <c r="DI13" s="4">
        <v>17.616</v>
      </c>
      <c r="DJ13" s="4">
        <v>17.956941176470586</v>
      </c>
      <c r="DK13" s="4">
        <v>19.030905882352943</v>
      </c>
      <c r="DL13" s="4">
        <v>20.265965294117645</v>
      </c>
      <c r="DM13" s="6">
        <v>21.686283617647057</v>
      </c>
      <c r="DN13" s="8">
        <v>20.576639999999998</v>
      </c>
      <c r="DO13" s="4">
        <v>21.315359999999998</v>
      </c>
      <c r="DP13" s="4">
        <v>21.727898823529408</v>
      </c>
      <c r="DQ13" s="4">
        <v>23.027396117647058</v>
      </c>
      <c r="DR13" s="6">
        <v>24.116498699999994</v>
      </c>
      <c r="DS13" s="9">
        <v>25.372951832647058</v>
      </c>
      <c r="DT13" s="8">
        <v>24.691967999999996</v>
      </c>
      <c r="DU13" s="4">
        <v>25.578431999999999</v>
      </c>
      <c r="DV13" s="4">
        <v>26.07347858823529</v>
      </c>
      <c r="DW13" s="4">
        <v>26.942053457647056</v>
      </c>
      <c r="DX13" s="6">
        <v>28.698633452999996</v>
      </c>
      <c r="DY13" s="9">
        <v>30.193812680849994</v>
      </c>
      <c r="DZ13" s="8">
        <v>24.691967999999996</v>
      </c>
      <c r="EA13" s="4">
        <v>25.578431999999999</v>
      </c>
      <c r="EB13" s="4">
        <v>26.07347858823529</v>
      </c>
      <c r="EC13" s="4">
        <v>26.942053457647056</v>
      </c>
      <c r="ED13" s="6">
        <v>28.698633452999996</v>
      </c>
      <c r="EE13" s="9">
        <v>30.193812680849994</v>
      </c>
      <c r="EF13" s="7">
        <v>17.291294117647059</v>
      </c>
      <c r="EG13" s="4">
        <v>17.616</v>
      </c>
      <c r="EH13" s="4">
        <v>17.956941176470586</v>
      </c>
      <c r="EI13" s="4">
        <v>19.030905882352943</v>
      </c>
      <c r="EJ13" s="4">
        <v>20.265965294117645</v>
      </c>
      <c r="EK13" s="5">
        <v>21.686283617647057</v>
      </c>
      <c r="EL13" s="29">
        <v>21</v>
      </c>
      <c r="EM13" s="30">
        <v>22</v>
      </c>
      <c r="EN13" s="4">
        <v>23.99</v>
      </c>
      <c r="EO13" s="4">
        <v>24.99</v>
      </c>
      <c r="EP13" s="4">
        <v>25.99</v>
      </c>
      <c r="EQ13" s="4">
        <v>26.99</v>
      </c>
      <c r="ER13" s="5">
        <v>28</v>
      </c>
      <c r="ES13" s="8">
        <v>20.875354838709676</v>
      </c>
      <c r="ET13" s="4">
        <v>21.24309677419355</v>
      </c>
      <c r="EU13" s="4">
        <v>21.629225806451608</v>
      </c>
      <c r="EV13" s="4">
        <v>22.440096774193549</v>
      </c>
      <c r="EW13" s="6">
        <v>23.332054838709674</v>
      </c>
      <c r="EX13" s="9">
        <v>24.313208709677419</v>
      </c>
      <c r="EY13" s="7">
        <v>22.423741935483868</v>
      </c>
      <c r="EZ13" s="4">
        <v>22.868903225806449</v>
      </c>
      <c r="FA13" s="4">
        <v>23.33632258064516</v>
      </c>
      <c r="FB13" s="4">
        <v>24.808693548387094</v>
      </c>
      <c r="FC13" s="4">
        <v>26.501920161290322</v>
      </c>
      <c r="FD13" s="5">
        <v>28.449130766129027</v>
      </c>
    </row>
    <row r="14" spans="2:160" x14ac:dyDescent="0.3">
      <c r="B14" s="2">
        <v>0.751</v>
      </c>
      <c r="C14" s="3">
        <v>1</v>
      </c>
      <c r="D14" s="8">
        <v>13.99</v>
      </c>
      <c r="E14" s="7">
        <v>15</v>
      </c>
      <c r="F14" s="4">
        <v>15.99</v>
      </c>
      <c r="G14" s="4">
        <v>17</v>
      </c>
      <c r="H14" s="4">
        <v>17.989999999999998</v>
      </c>
      <c r="I14" s="9">
        <v>19</v>
      </c>
      <c r="J14" s="30">
        <v>13.99</v>
      </c>
      <c r="K14" s="7">
        <v>15</v>
      </c>
      <c r="L14" s="4">
        <v>15.99</v>
      </c>
      <c r="M14" s="4">
        <v>17</v>
      </c>
      <c r="N14" s="4">
        <v>17.989999999999998</v>
      </c>
      <c r="O14" s="5">
        <v>19</v>
      </c>
      <c r="P14" s="7">
        <v>21.649548387096772</v>
      </c>
      <c r="Q14" s="4">
        <v>22.055999999999997</v>
      </c>
      <c r="R14" s="4">
        <v>22.482774193548391</v>
      </c>
      <c r="S14" s="4">
        <v>22.930887096774192</v>
      </c>
      <c r="T14" s="4">
        <v>23.40140564516129</v>
      </c>
      <c r="U14" s="5">
        <v>23.895450120967745</v>
      </c>
      <c r="V14" s="7">
        <v>21.456</v>
      </c>
      <c r="W14" s="4">
        <v>21.852774193548385</v>
      </c>
      <c r="X14" s="4">
        <v>22.269387096774196</v>
      </c>
      <c r="Y14" s="4">
        <v>22.70683064516129</v>
      </c>
      <c r="Z14" s="4">
        <v>23.166146370967741</v>
      </c>
      <c r="AA14" s="5">
        <v>23.648427883064514</v>
      </c>
      <c r="AB14" s="7">
        <v>21.649548387096772</v>
      </c>
      <c r="AC14" s="4">
        <v>22.055999999999997</v>
      </c>
      <c r="AD14" s="4">
        <v>22.482774193548391</v>
      </c>
      <c r="AE14" s="4">
        <v>22.930887096774192</v>
      </c>
      <c r="AF14" s="4">
        <v>23.918976048387094</v>
      </c>
      <c r="AG14" s="5">
        <v>24.438899044354834</v>
      </c>
      <c r="AH14" s="7">
        <v>21.649548387096772</v>
      </c>
      <c r="AI14" s="4">
        <v>22.055999999999997</v>
      </c>
      <c r="AJ14" s="4">
        <v>22.482774193548391</v>
      </c>
      <c r="AK14" s="4">
        <v>22.930887096774192</v>
      </c>
      <c r="AL14" s="4">
        <v>23.40140564516129</v>
      </c>
      <c r="AM14" s="5">
        <v>23.895450120967745</v>
      </c>
      <c r="AN14" s="7">
        <v>15</v>
      </c>
      <c r="AO14" s="4">
        <v>15.99</v>
      </c>
      <c r="AP14" s="4">
        <v>16.89</v>
      </c>
      <c r="AQ14" s="4">
        <v>17.989999999999998</v>
      </c>
      <c r="AR14" s="4">
        <v>19</v>
      </c>
      <c r="AS14" s="5">
        <v>20</v>
      </c>
      <c r="AT14" s="7">
        <v>21.456</v>
      </c>
      <c r="AU14" s="4">
        <v>21.852774193548385</v>
      </c>
      <c r="AV14" s="4">
        <v>22.269387096774196</v>
      </c>
      <c r="AW14" s="4">
        <v>22.70683064516129</v>
      </c>
      <c r="AX14" s="4">
        <v>23.166146370967741</v>
      </c>
      <c r="AY14" s="5">
        <v>23.648427883064514</v>
      </c>
      <c r="AZ14" s="7">
        <v>21.456</v>
      </c>
      <c r="BA14" s="4">
        <v>21.852774193548385</v>
      </c>
      <c r="BB14" s="4">
        <v>22.269387096774196</v>
      </c>
      <c r="BC14" s="4">
        <v>22.70683064516129</v>
      </c>
      <c r="BD14" s="4">
        <v>23.166146370967741</v>
      </c>
      <c r="BE14" s="5">
        <v>23.648427883064514</v>
      </c>
      <c r="BF14" s="7">
        <v>21.456</v>
      </c>
      <c r="BG14" s="4">
        <v>21.852774193548385</v>
      </c>
      <c r="BH14" s="4">
        <v>22.269387096774196</v>
      </c>
      <c r="BI14" s="4">
        <v>22.70683064516129</v>
      </c>
      <c r="BJ14" s="4">
        <v>23.166146370967741</v>
      </c>
      <c r="BK14" s="5">
        <v>23.648427883064514</v>
      </c>
      <c r="BL14" s="7">
        <v>21.456</v>
      </c>
      <c r="BM14" s="4">
        <v>21.852774193548385</v>
      </c>
      <c r="BN14" s="4">
        <v>22.269387096774196</v>
      </c>
      <c r="BO14" s="4">
        <v>22.70683064516129</v>
      </c>
      <c r="BP14" s="4">
        <v>23.166146370967741</v>
      </c>
      <c r="BQ14" s="5">
        <v>23.648427883064514</v>
      </c>
      <c r="BR14" s="7">
        <v>21.456</v>
      </c>
      <c r="BS14" s="4">
        <v>21.852774193548385</v>
      </c>
      <c r="BT14" s="4">
        <v>22.269387096774196</v>
      </c>
      <c r="BU14" s="4">
        <v>22.70683064516129</v>
      </c>
      <c r="BV14" s="4">
        <v>23.166146370967741</v>
      </c>
      <c r="BW14" s="5">
        <v>23.648427883064514</v>
      </c>
      <c r="BX14" s="7">
        <v>21.456</v>
      </c>
      <c r="BY14" s="4">
        <v>21.852774193548385</v>
      </c>
      <c r="BZ14" s="4">
        <v>22.269387096774196</v>
      </c>
      <c r="CA14" s="4">
        <v>22.70683064516129</v>
      </c>
      <c r="CB14" s="4">
        <v>23.166146370967741</v>
      </c>
      <c r="CC14" s="5">
        <v>23.648427883064514</v>
      </c>
      <c r="CD14" s="7">
        <v>21.456</v>
      </c>
      <c r="CE14" s="4">
        <v>21.852774193548385</v>
      </c>
      <c r="CF14" s="4">
        <v>22.269387096774196</v>
      </c>
      <c r="CG14" s="4">
        <v>22.70683064516129</v>
      </c>
      <c r="CH14" s="4">
        <v>23.166146370967741</v>
      </c>
      <c r="CI14" s="5">
        <v>23.648427883064514</v>
      </c>
      <c r="CJ14" s="7">
        <v>21.456</v>
      </c>
      <c r="CK14" s="4">
        <v>21.852774193548385</v>
      </c>
      <c r="CL14" s="4">
        <v>22.269387096774196</v>
      </c>
      <c r="CM14" s="4">
        <v>22.70683064516129</v>
      </c>
      <c r="CN14" s="4">
        <v>23.166146370967741</v>
      </c>
      <c r="CO14" s="5">
        <v>23.648427883064514</v>
      </c>
      <c r="CP14" s="7">
        <v>21.456</v>
      </c>
      <c r="CQ14" s="4">
        <v>21.852774193548385</v>
      </c>
      <c r="CR14" s="4">
        <v>22.269387096774196</v>
      </c>
      <c r="CS14" s="4">
        <v>22.70683064516129</v>
      </c>
      <c r="CT14" s="4">
        <v>23.166146370967741</v>
      </c>
      <c r="CU14" s="6">
        <v>23.648427883064514</v>
      </c>
      <c r="CV14" s="7">
        <v>17.150117647058824</v>
      </c>
      <c r="CW14" s="7">
        <v>17.150117647058824</v>
      </c>
      <c r="CX14" s="7">
        <v>17.150117647058824</v>
      </c>
      <c r="CY14" s="4">
        <v>17.497782352941176</v>
      </c>
      <c r="CZ14" s="4">
        <v>17.832812647058823</v>
      </c>
      <c r="DA14" s="5">
        <v>18.184594455882355</v>
      </c>
      <c r="DB14" s="7">
        <v>17.855999999999998</v>
      </c>
      <c r="DC14" s="4">
        <v>18.208941176470585</v>
      </c>
      <c r="DD14" s="4">
        <v>18.579529411764703</v>
      </c>
      <c r="DE14" s="4">
        <v>19.746882352941178</v>
      </c>
      <c r="DF14" s="4">
        <v>21.089338235294118</v>
      </c>
      <c r="DG14" s="5">
        <v>22.633162499999997</v>
      </c>
      <c r="DH14" s="7">
        <v>17.855999999999998</v>
      </c>
      <c r="DI14" s="4">
        <v>18.208941176470585</v>
      </c>
      <c r="DJ14" s="4">
        <v>18.579529411764703</v>
      </c>
      <c r="DK14" s="4">
        <v>19.746882352941178</v>
      </c>
      <c r="DL14" s="4">
        <v>21.089338235294118</v>
      </c>
      <c r="DM14" s="6">
        <v>22.633162499999997</v>
      </c>
      <c r="DN14" s="8">
        <v>21.248640000000002</v>
      </c>
      <c r="DO14" s="4">
        <v>22.032818823529411</v>
      </c>
      <c r="DP14" s="4">
        <v>22.481230588235292</v>
      </c>
      <c r="DQ14" s="4">
        <v>23.893727647058824</v>
      </c>
      <c r="DR14" s="6">
        <v>25.0963125</v>
      </c>
      <c r="DS14" s="9">
        <v>26.480800124999995</v>
      </c>
      <c r="DT14" s="8">
        <v>25.498368000000003</v>
      </c>
      <c r="DU14" s="4">
        <v>26.439382588235294</v>
      </c>
      <c r="DV14" s="4">
        <v>26.977476705882349</v>
      </c>
      <c r="DW14" s="4">
        <v>27.955661347058825</v>
      </c>
      <c r="DX14" s="6">
        <v>29.864611875000001</v>
      </c>
      <c r="DY14" s="9">
        <v>31.512152148749994</v>
      </c>
      <c r="DZ14" s="8">
        <v>25.498368000000003</v>
      </c>
      <c r="EA14" s="4">
        <v>26.439382588235294</v>
      </c>
      <c r="EB14" s="4">
        <v>26.977476705882349</v>
      </c>
      <c r="EC14" s="4">
        <v>27.955661347058825</v>
      </c>
      <c r="ED14" s="6">
        <v>29.864611875000001</v>
      </c>
      <c r="EE14" s="9">
        <v>31.512152148749994</v>
      </c>
      <c r="EF14" s="7">
        <v>17.855999999999998</v>
      </c>
      <c r="EG14" s="4">
        <v>18.208941176470585</v>
      </c>
      <c r="EH14" s="4">
        <v>18.579529411764703</v>
      </c>
      <c r="EI14" s="4">
        <v>19.746882352941178</v>
      </c>
      <c r="EJ14" s="4">
        <v>21.089338235294118</v>
      </c>
      <c r="EK14" s="5">
        <v>22.633162499999997</v>
      </c>
      <c r="EL14" s="29">
        <v>22</v>
      </c>
      <c r="EM14" s="30">
        <v>23.99</v>
      </c>
      <c r="EN14" s="4">
        <v>24.99</v>
      </c>
      <c r="EO14" s="4">
        <v>25.99</v>
      </c>
      <c r="EP14" s="4">
        <v>26.99</v>
      </c>
      <c r="EQ14" s="4">
        <v>28</v>
      </c>
      <c r="ER14" s="5">
        <v>29.99</v>
      </c>
      <c r="ES14" s="8">
        <v>21.649548387096772</v>
      </c>
      <c r="ET14" s="4">
        <v>22.055999999999997</v>
      </c>
      <c r="EU14" s="4">
        <v>22.482774193548391</v>
      </c>
      <c r="EV14" s="4">
        <v>23.378999999999998</v>
      </c>
      <c r="EW14" s="6">
        <v>24.364848387096778</v>
      </c>
      <c r="EX14" s="9">
        <v>25.449281612903228</v>
      </c>
      <c r="EY14" s="7">
        <v>23.197935483870964</v>
      </c>
      <c r="EZ14" s="4">
        <v>23.681806451612903</v>
      </c>
      <c r="FA14" s="4">
        <v>24.189870967741932</v>
      </c>
      <c r="FB14" s="4">
        <v>25.790274193548388</v>
      </c>
      <c r="FC14" s="4">
        <v>27.630737903225803</v>
      </c>
      <c r="FD14" s="5">
        <v>29.747271169354832</v>
      </c>
    </row>
    <row r="15" spans="2:160" x14ac:dyDescent="0.3">
      <c r="B15" s="2">
        <v>1.0009999999999999</v>
      </c>
      <c r="C15" s="3">
        <v>2</v>
      </c>
      <c r="D15" s="8">
        <v>15</v>
      </c>
      <c r="E15" s="7">
        <v>15.99</v>
      </c>
      <c r="F15" s="4">
        <v>17</v>
      </c>
      <c r="G15" s="4">
        <v>17.989999999999998</v>
      </c>
      <c r="H15" s="4">
        <v>19</v>
      </c>
      <c r="I15" s="9">
        <v>19.989999999999998</v>
      </c>
      <c r="J15" s="30">
        <v>15</v>
      </c>
      <c r="K15" s="7">
        <v>15.99</v>
      </c>
      <c r="L15" s="4">
        <v>17</v>
      </c>
      <c r="M15" s="4">
        <v>17.989999999999998</v>
      </c>
      <c r="N15" s="4">
        <v>19</v>
      </c>
      <c r="O15" s="5">
        <v>19.989999999999998</v>
      </c>
      <c r="P15" s="7">
        <v>23.875354838709676</v>
      </c>
      <c r="Q15" s="4">
        <v>24.320516129032256</v>
      </c>
      <c r="R15" s="4">
        <v>24.787935483870967</v>
      </c>
      <c r="S15" s="4">
        <v>25.278725806451614</v>
      </c>
      <c r="T15" s="4">
        <v>25.79405564516129</v>
      </c>
      <c r="U15" s="5">
        <v>26.335151975806454</v>
      </c>
      <c r="V15" s="7">
        <v>23.681806451612903</v>
      </c>
      <c r="W15" s="4">
        <v>24.117290322580644</v>
      </c>
      <c r="X15" s="4">
        <v>24.574548387096772</v>
      </c>
      <c r="Y15" s="4">
        <v>25.054669354838708</v>
      </c>
      <c r="Z15" s="4">
        <v>25.558796370967745</v>
      </c>
      <c r="AA15" s="5">
        <v>26.088129737903227</v>
      </c>
      <c r="AB15" s="7">
        <v>23.875354838709676</v>
      </c>
      <c r="AC15" s="4">
        <v>24.320516129032256</v>
      </c>
      <c r="AD15" s="4">
        <v>24.787935483870967</v>
      </c>
      <c r="AE15" s="4">
        <v>25.278725806451614</v>
      </c>
      <c r="AF15" s="4">
        <v>26.360918467741936</v>
      </c>
      <c r="AG15" s="5">
        <v>26.930357939516128</v>
      </c>
      <c r="AH15" s="7">
        <v>23.875354838709676</v>
      </c>
      <c r="AI15" s="4">
        <v>24.320516129032256</v>
      </c>
      <c r="AJ15" s="4">
        <v>24.787935483870967</v>
      </c>
      <c r="AK15" s="4">
        <v>25.278725806451614</v>
      </c>
      <c r="AL15" s="4">
        <v>25.79405564516129</v>
      </c>
      <c r="AM15" s="5">
        <v>26.335151975806454</v>
      </c>
      <c r="AN15" s="7">
        <v>15.99</v>
      </c>
      <c r="AO15" s="4">
        <v>16.89</v>
      </c>
      <c r="AP15" s="4">
        <v>17.989999999999998</v>
      </c>
      <c r="AQ15" s="4">
        <v>19</v>
      </c>
      <c r="AR15" s="4">
        <v>20</v>
      </c>
      <c r="AS15" s="5">
        <v>21.99</v>
      </c>
      <c r="AT15" s="7">
        <v>23.681806451612903</v>
      </c>
      <c r="AU15" s="4">
        <v>24.117290322580644</v>
      </c>
      <c r="AV15" s="4">
        <v>24.574548387096772</v>
      </c>
      <c r="AW15" s="4">
        <v>25.054669354838708</v>
      </c>
      <c r="AX15" s="4">
        <v>25.558796370967745</v>
      </c>
      <c r="AY15" s="5">
        <v>26.088129737903227</v>
      </c>
      <c r="AZ15" s="7">
        <v>23.681806451612903</v>
      </c>
      <c r="BA15" s="4">
        <v>24.117290322580644</v>
      </c>
      <c r="BB15" s="4">
        <v>24.574548387096772</v>
      </c>
      <c r="BC15" s="4">
        <v>25.054669354838708</v>
      </c>
      <c r="BD15" s="4">
        <v>25.558796370967745</v>
      </c>
      <c r="BE15" s="5">
        <v>26.088129737903227</v>
      </c>
      <c r="BF15" s="7">
        <v>23.681806451612903</v>
      </c>
      <c r="BG15" s="4">
        <v>24.117290322580644</v>
      </c>
      <c r="BH15" s="4">
        <v>24.574548387096772</v>
      </c>
      <c r="BI15" s="4">
        <v>25.054669354838708</v>
      </c>
      <c r="BJ15" s="4">
        <v>25.558796370967745</v>
      </c>
      <c r="BK15" s="5">
        <v>26.088129737903227</v>
      </c>
      <c r="BL15" s="7">
        <v>23.681806451612903</v>
      </c>
      <c r="BM15" s="4">
        <v>24.117290322580644</v>
      </c>
      <c r="BN15" s="4">
        <v>24.574548387096772</v>
      </c>
      <c r="BO15" s="4">
        <v>25.054669354838708</v>
      </c>
      <c r="BP15" s="4">
        <v>25.558796370967745</v>
      </c>
      <c r="BQ15" s="5">
        <v>26.088129737903227</v>
      </c>
      <c r="BR15" s="7">
        <v>23.681806451612903</v>
      </c>
      <c r="BS15" s="4">
        <v>24.117290322580644</v>
      </c>
      <c r="BT15" s="4">
        <v>24.574548387096772</v>
      </c>
      <c r="BU15" s="4">
        <v>25.054669354838708</v>
      </c>
      <c r="BV15" s="4">
        <v>25.558796370967745</v>
      </c>
      <c r="BW15" s="5">
        <v>26.088129737903227</v>
      </c>
      <c r="BX15" s="7">
        <v>23.681806451612903</v>
      </c>
      <c r="BY15" s="4">
        <v>24.117290322580644</v>
      </c>
      <c r="BZ15" s="4">
        <v>24.574548387096772</v>
      </c>
      <c r="CA15" s="4">
        <v>25.054669354838708</v>
      </c>
      <c r="CB15" s="4">
        <v>25.558796370967745</v>
      </c>
      <c r="CC15" s="5">
        <v>26.088129737903227</v>
      </c>
      <c r="CD15" s="7">
        <v>23.681806451612903</v>
      </c>
      <c r="CE15" s="4">
        <v>24.117290322580644</v>
      </c>
      <c r="CF15" s="4">
        <v>24.574548387096772</v>
      </c>
      <c r="CG15" s="4">
        <v>25.054669354838708</v>
      </c>
      <c r="CH15" s="4">
        <v>25.558796370967745</v>
      </c>
      <c r="CI15" s="5">
        <v>26.088129737903227</v>
      </c>
      <c r="CJ15" s="7">
        <v>23.681806451612903</v>
      </c>
      <c r="CK15" s="4">
        <v>24.117290322580644</v>
      </c>
      <c r="CL15" s="4">
        <v>24.574548387096772</v>
      </c>
      <c r="CM15" s="4">
        <v>25.054669354838708</v>
      </c>
      <c r="CN15" s="4">
        <v>25.558796370967745</v>
      </c>
      <c r="CO15" s="5">
        <v>26.088129737903227</v>
      </c>
      <c r="CP15" s="7">
        <v>23.681806451612903</v>
      </c>
      <c r="CQ15" s="4">
        <v>24.117290322580644</v>
      </c>
      <c r="CR15" s="4">
        <v>24.574548387096772</v>
      </c>
      <c r="CS15" s="4">
        <v>25.054669354838708</v>
      </c>
      <c r="CT15" s="4">
        <v>25.558796370967745</v>
      </c>
      <c r="CU15" s="6">
        <v>26.088129737903227</v>
      </c>
      <c r="CV15" s="7">
        <v>18.491294117647058</v>
      </c>
      <c r="CW15" s="7">
        <v>18.491294117647058</v>
      </c>
      <c r="CX15" s="7">
        <v>18.491294117647058</v>
      </c>
      <c r="CY15" s="4">
        <v>19.210323529411763</v>
      </c>
      <c r="CZ15" s="4">
        <v>19.578039705882354</v>
      </c>
      <c r="DA15" s="5">
        <v>19.964141691176472</v>
      </c>
      <c r="DB15" s="7">
        <v>19.479529411764709</v>
      </c>
      <c r="DC15" s="4">
        <v>19.860705882352942</v>
      </c>
      <c r="DD15" s="4">
        <v>20.260941176470592</v>
      </c>
      <c r="DE15" s="4">
        <v>21.521682352941177</v>
      </c>
      <c r="DF15" s="4">
        <v>22.971534705882352</v>
      </c>
      <c r="DG15" s="5">
        <v>24.638864911764703</v>
      </c>
      <c r="DH15" s="7">
        <v>19.479529411764709</v>
      </c>
      <c r="DI15" s="4">
        <v>19.860705882352942</v>
      </c>
      <c r="DJ15" s="4">
        <v>20.260941176470592</v>
      </c>
      <c r="DK15" s="4">
        <v>21.521682352941177</v>
      </c>
      <c r="DL15" s="4">
        <v>22.971534705882352</v>
      </c>
      <c r="DM15" s="6">
        <v>24.638864911764703</v>
      </c>
      <c r="DN15" s="8">
        <v>23.18064</v>
      </c>
      <c r="DO15" s="4">
        <v>24.031454117647062</v>
      </c>
      <c r="DP15" s="4">
        <v>24.515738823529414</v>
      </c>
      <c r="DQ15" s="4">
        <v>26.041235647058823</v>
      </c>
      <c r="DR15" s="6">
        <v>27.336126299999997</v>
      </c>
      <c r="DS15" s="9">
        <v>28.827471946764703</v>
      </c>
      <c r="DT15" s="8">
        <v>27.816768</v>
      </c>
      <c r="DU15" s="4">
        <v>28.837744941176474</v>
      </c>
      <c r="DV15" s="4">
        <v>29.418886588235296</v>
      </c>
      <c r="DW15" s="4">
        <v>30.46824570705882</v>
      </c>
      <c r="DX15" s="6">
        <v>32.529990296999998</v>
      </c>
      <c r="DY15" s="9">
        <v>34.304691616649997</v>
      </c>
      <c r="DZ15" s="8">
        <v>27.816768</v>
      </c>
      <c r="EA15" s="4">
        <v>28.837744941176474</v>
      </c>
      <c r="EB15" s="4">
        <v>29.418886588235296</v>
      </c>
      <c r="EC15" s="4">
        <v>30.46824570705882</v>
      </c>
      <c r="ED15" s="6">
        <v>32.529990296999998</v>
      </c>
      <c r="EE15" s="9">
        <v>34.304691616649997</v>
      </c>
      <c r="EF15" s="7">
        <v>19.479529411764709</v>
      </c>
      <c r="EG15" s="4">
        <v>19.860705882352942</v>
      </c>
      <c r="EH15" s="4">
        <v>20.260941176470592</v>
      </c>
      <c r="EI15" s="4">
        <v>21.521682352941177</v>
      </c>
      <c r="EJ15" s="4">
        <v>22.971534705882352</v>
      </c>
      <c r="EK15" s="5">
        <v>24.638864911764703</v>
      </c>
      <c r="EL15" s="29">
        <v>23.99</v>
      </c>
      <c r="EM15" s="30">
        <v>24.99</v>
      </c>
      <c r="EN15" s="4">
        <v>25.99</v>
      </c>
      <c r="EO15" s="4">
        <v>26.99</v>
      </c>
      <c r="EP15" s="4">
        <v>28</v>
      </c>
      <c r="EQ15" s="4">
        <v>29.99</v>
      </c>
      <c r="ER15" s="5">
        <v>31.99</v>
      </c>
      <c r="ES15" s="8">
        <v>23.875354838709676</v>
      </c>
      <c r="ET15" s="4">
        <v>24.320516129032256</v>
      </c>
      <c r="EU15" s="4">
        <v>24.787935483870967</v>
      </c>
      <c r="EV15" s="4">
        <v>25.769516129032255</v>
      </c>
      <c r="EW15" s="6">
        <v>26.84925483870968</v>
      </c>
      <c r="EX15" s="9">
        <v>28.036967419354838</v>
      </c>
      <c r="EY15" s="7">
        <v>25.423741935483868</v>
      </c>
      <c r="EZ15" s="4">
        <v>25.946322580645159</v>
      </c>
      <c r="FA15" s="4">
        <v>26.495032258064519</v>
      </c>
      <c r="FB15" s="4">
        <v>28.22346774193548</v>
      </c>
      <c r="FC15" s="4">
        <v>30.211168548387096</v>
      </c>
      <c r="FD15" s="5">
        <v>32.497024475806448</v>
      </c>
    </row>
    <row r="16" spans="2:160" x14ac:dyDescent="0.3">
      <c r="B16" s="2">
        <v>2.0009999999999999</v>
      </c>
      <c r="C16" s="3">
        <v>3</v>
      </c>
      <c r="D16" s="8">
        <v>15.99</v>
      </c>
      <c r="E16" s="7">
        <v>17</v>
      </c>
      <c r="F16" s="4">
        <v>17.989999999999998</v>
      </c>
      <c r="G16" s="4">
        <v>19</v>
      </c>
      <c r="H16" s="4">
        <v>19.989999999999998</v>
      </c>
      <c r="I16" s="9">
        <v>20.99</v>
      </c>
      <c r="J16" s="30">
        <v>15.99</v>
      </c>
      <c r="K16" s="7">
        <v>17</v>
      </c>
      <c r="L16" s="4">
        <v>17.989999999999998</v>
      </c>
      <c r="M16" s="4">
        <v>19</v>
      </c>
      <c r="N16" s="4">
        <v>19.989999999999998</v>
      </c>
      <c r="O16" s="5">
        <v>20.99</v>
      </c>
      <c r="P16" s="7">
        <v>26.10116129032258</v>
      </c>
      <c r="Q16" s="4">
        <v>26.585032258064516</v>
      </c>
      <c r="R16" s="4">
        <v>27.093096774193544</v>
      </c>
      <c r="S16" s="4">
        <v>27.626564516129029</v>
      </c>
      <c r="T16" s="4">
        <v>28.18670564516129</v>
      </c>
      <c r="U16" s="5">
        <v>28.77485383064516</v>
      </c>
      <c r="V16" s="7">
        <v>25.907612903225807</v>
      </c>
      <c r="W16" s="4">
        <v>26.381806451612899</v>
      </c>
      <c r="X16" s="4">
        <v>26.879709677419353</v>
      </c>
      <c r="Y16" s="4">
        <v>27.40250806451613</v>
      </c>
      <c r="Z16" s="4">
        <v>27.951446370967744</v>
      </c>
      <c r="AA16" s="5">
        <v>28.527831592741936</v>
      </c>
      <c r="AB16" s="7">
        <v>26.10116129032258</v>
      </c>
      <c r="AC16" s="4">
        <v>26.585032258064516</v>
      </c>
      <c r="AD16" s="4">
        <v>27.093096774193544</v>
      </c>
      <c r="AE16" s="4">
        <v>27.626564516129029</v>
      </c>
      <c r="AF16" s="4">
        <v>28.802860887096777</v>
      </c>
      <c r="AG16" s="5">
        <v>29.421816834677422</v>
      </c>
      <c r="AH16" s="7">
        <v>26.10116129032258</v>
      </c>
      <c r="AI16" s="4">
        <v>26.585032258064516</v>
      </c>
      <c r="AJ16" s="4">
        <v>27.093096774193544</v>
      </c>
      <c r="AK16" s="4">
        <v>27.626564516129029</v>
      </c>
      <c r="AL16" s="4">
        <v>28.18670564516129</v>
      </c>
      <c r="AM16" s="5">
        <v>28.77485383064516</v>
      </c>
      <c r="AN16" s="7">
        <v>16.89</v>
      </c>
      <c r="AO16" s="4">
        <v>17.989999999999998</v>
      </c>
      <c r="AP16" s="4">
        <v>19</v>
      </c>
      <c r="AQ16" s="4">
        <v>20</v>
      </c>
      <c r="AR16" s="4">
        <v>21.99</v>
      </c>
      <c r="AS16" s="5">
        <v>22.99</v>
      </c>
      <c r="AT16" s="7">
        <v>25.907612903225807</v>
      </c>
      <c r="AU16" s="4">
        <v>26.381806451612899</v>
      </c>
      <c r="AV16" s="4">
        <v>26.879709677419353</v>
      </c>
      <c r="AW16" s="4">
        <v>27.40250806451613</v>
      </c>
      <c r="AX16" s="4">
        <v>27.951446370967744</v>
      </c>
      <c r="AY16" s="5">
        <v>28.527831592741936</v>
      </c>
      <c r="AZ16" s="7">
        <v>25.907612903225807</v>
      </c>
      <c r="BA16" s="4">
        <v>26.381806451612899</v>
      </c>
      <c r="BB16" s="4">
        <v>26.879709677419353</v>
      </c>
      <c r="BC16" s="4">
        <v>27.40250806451613</v>
      </c>
      <c r="BD16" s="4">
        <v>27.951446370967744</v>
      </c>
      <c r="BE16" s="5">
        <v>28.527831592741936</v>
      </c>
      <c r="BF16" s="7">
        <v>25.907612903225807</v>
      </c>
      <c r="BG16" s="4">
        <v>26.381806451612899</v>
      </c>
      <c r="BH16" s="4">
        <v>26.879709677419353</v>
      </c>
      <c r="BI16" s="4">
        <v>27.40250806451613</v>
      </c>
      <c r="BJ16" s="4">
        <v>27.951446370967744</v>
      </c>
      <c r="BK16" s="5">
        <v>28.527831592741936</v>
      </c>
      <c r="BL16" s="7">
        <v>25.907612903225807</v>
      </c>
      <c r="BM16" s="4">
        <v>26.381806451612899</v>
      </c>
      <c r="BN16" s="4">
        <v>26.879709677419353</v>
      </c>
      <c r="BO16" s="4">
        <v>27.40250806451613</v>
      </c>
      <c r="BP16" s="4">
        <v>27.951446370967744</v>
      </c>
      <c r="BQ16" s="5">
        <v>28.527831592741936</v>
      </c>
      <c r="BR16" s="7">
        <v>25.907612903225807</v>
      </c>
      <c r="BS16" s="4">
        <v>26.381806451612899</v>
      </c>
      <c r="BT16" s="4">
        <v>26.879709677419353</v>
      </c>
      <c r="BU16" s="4">
        <v>27.40250806451613</v>
      </c>
      <c r="BV16" s="4">
        <v>27.951446370967744</v>
      </c>
      <c r="BW16" s="5">
        <v>28.527831592741936</v>
      </c>
      <c r="BX16" s="7">
        <v>25.907612903225807</v>
      </c>
      <c r="BY16" s="4">
        <v>26.381806451612899</v>
      </c>
      <c r="BZ16" s="4">
        <v>26.879709677419353</v>
      </c>
      <c r="CA16" s="4">
        <v>27.40250806451613</v>
      </c>
      <c r="CB16" s="4">
        <v>27.951446370967744</v>
      </c>
      <c r="CC16" s="5">
        <v>28.527831592741936</v>
      </c>
      <c r="CD16" s="7">
        <v>25.907612903225807</v>
      </c>
      <c r="CE16" s="4">
        <v>26.381806451612899</v>
      </c>
      <c r="CF16" s="4">
        <v>26.879709677419353</v>
      </c>
      <c r="CG16" s="4">
        <v>27.40250806451613</v>
      </c>
      <c r="CH16" s="4">
        <v>27.951446370967744</v>
      </c>
      <c r="CI16" s="5">
        <v>28.527831592741936</v>
      </c>
      <c r="CJ16" s="7">
        <v>25.907612903225807</v>
      </c>
      <c r="CK16" s="4">
        <v>26.381806451612899</v>
      </c>
      <c r="CL16" s="4">
        <v>26.879709677419353</v>
      </c>
      <c r="CM16" s="4">
        <v>27.40250806451613</v>
      </c>
      <c r="CN16" s="4">
        <v>27.951446370967744</v>
      </c>
      <c r="CO16" s="5">
        <v>28.527831592741936</v>
      </c>
      <c r="CP16" s="7">
        <v>25.907612903225807</v>
      </c>
      <c r="CQ16" s="4">
        <v>26.381806451612899</v>
      </c>
      <c r="CR16" s="4">
        <v>26.879709677419353</v>
      </c>
      <c r="CS16" s="4">
        <v>27.40250806451613</v>
      </c>
      <c r="CT16" s="4">
        <v>27.951446370967744</v>
      </c>
      <c r="CU16" s="6">
        <v>28.527831592741936</v>
      </c>
      <c r="CV16" s="7">
        <v>19.832470588235296</v>
      </c>
      <c r="CW16" s="7">
        <v>19.832470588235296</v>
      </c>
      <c r="CX16" s="7">
        <v>19.832470588235296</v>
      </c>
      <c r="CY16" s="4">
        <v>20.922864705882354</v>
      </c>
      <c r="CZ16" s="4">
        <v>21.323266764705885</v>
      </c>
      <c r="DA16" s="5">
        <v>21.74368892647059</v>
      </c>
      <c r="DB16" s="7">
        <v>21.103058823529413</v>
      </c>
      <c r="DC16" s="4">
        <v>21.512470588235292</v>
      </c>
      <c r="DD16" s="4">
        <v>21.94235294117647</v>
      </c>
      <c r="DE16" s="4">
        <v>23.296482352941172</v>
      </c>
      <c r="DF16" s="4">
        <v>24.853731176470585</v>
      </c>
      <c r="DG16" s="5">
        <v>26.644567323529408</v>
      </c>
      <c r="DH16" s="7">
        <v>21.103058823529413</v>
      </c>
      <c r="DI16" s="4">
        <v>21.512470588235292</v>
      </c>
      <c r="DJ16" s="4">
        <v>21.94235294117647</v>
      </c>
      <c r="DK16" s="4">
        <v>23.296482352941172</v>
      </c>
      <c r="DL16" s="4">
        <v>24.853731176470585</v>
      </c>
      <c r="DM16" s="6">
        <v>26.644567323529408</v>
      </c>
      <c r="DN16" s="8">
        <v>25.112639999999999</v>
      </c>
      <c r="DO16" s="4">
        <v>26.030089411764703</v>
      </c>
      <c r="DP16" s="4">
        <v>26.55024705882353</v>
      </c>
      <c r="DQ16" s="4">
        <v>28.188743647058818</v>
      </c>
      <c r="DR16" s="6">
        <v>29.575940099999997</v>
      </c>
      <c r="DS16" s="9">
        <v>31.174143768529404</v>
      </c>
      <c r="DT16" s="8">
        <v>30.135168</v>
      </c>
      <c r="DU16" s="4">
        <v>31.236107294117645</v>
      </c>
      <c r="DV16" s="4">
        <v>31.860296470588235</v>
      </c>
      <c r="DW16" s="4">
        <v>32.980830067058818</v>
      </c>
      <c r="DX16" s="6">
        <v>35.195368718999994</v>
      </c>
      <c r="DY16" s="9">
        <v>37.097231084549996</v>
      </c>
      <c r="DZ16" s="8">
        <v>30.135168</v>
      </c>
      <c r="EA16" s="4">
        <v>31.236107294117645</v>
      </c>
      <c r="EB16" s="4">
        <v>31.860296470588235</v>
      </c>
      <c r="EC16" s="4">
        <v>32.980830067058818</v>
      </c>
      <c r="ED16" s="6">
        <v>35.195368718999994</v>
      </c>
      <c r="EE16" s="9">
        <v>37.097231084549996</v>
      </c>
      <c r="EF16" s="7">
        <v>21.103058823529413</v>
      </c>
      <c r="EG16" s="4">
        <v>21.512470588235292</v>
      </c>
      <c r="EH16" s="4">
        <v>21.94235294117647</v>
      </c>
      <c r="EI16" s="4">
        <v>23.296482352941172</v>
      </c>
      <c r="EJ16" s="4">
        <v>24.853731176470585</v>
      </c>
      <c r="EK16" s="5">
        <v>26.644567323529408</v>
      </c>
      <c r="EL16" s="29">
        <v>24.99</v>
      </c>
      <c r="EM16" s="30">
        <v>25.99</v>
      </c>
      <c r="EN16" s="4">
        <v>26.99</v>
      </c>
      <c r="EO16" s="4">
        <v>28</v>
      </c>
      <c r="EP16" s="4">
        <v>29.99</v>
      </c>
      <c r="EQ16" s="4">
        <v>31.99</v>
      </c>
      <c r="ER16" s="5">
        <v>33</v>
      </c>
      <c r="ES16" s="7">
        <v>26.10116129032258</v>
      </c>
      <c r="ET16" s="4">
        <v>26.585032258064516</v>
      </c>
      <c r="EU16" s="4">
        <v>27.093096774193544</v>
      </c>
      <c r="EV16" s="4">
        <v>28.160032258064515</v>
      </c>
      <c r="EW16" s="4">
        <v>29.333661290322581</v>
      </c>
      <c r="EX16" s="5">
        <v>30.624653225806455</v>
      </c>
      <c r="EY16" s="7">
        <v>27.649548387096772</v>
      </c>
      <c r="EZ16" s="4">
        <v>28.210838709677418</v>
      </c>
      <c r="FA16" s="4">
        <v>28.800193548387096</v>
      </c>
      <c r="FB16" s="4">
        <v>30.656661290322575</v>
      </c>
      <c r="FC16" s="4">
        <v>32.791599193548386</v>
      </c>
      <c r="FD16" s="5">
        <v>35.246777782258057</v>
      </c>
    </row>
    <row r="17" spans="2:160" x14ac:dyDescent="0.3">
      <c r="B17" s="2">
        <v>3.0009999999999999</v>
      </c>
      <c r="C17" s="3">
        <v>4</v>
      </c>
      <c r="D17" s="8">
        <v>17</v>
      </c>
      <c r="E17" s="7">
        <v>17.989999999999998</v>
      </c>
      <c r="F17" s="4">
        <v>19</v>
      </c>
      <c r="G17" s="4">
        <v>19.989999999999998</v>
      </c>
      <c r="H17" s="4">
        <v>20.99</v>
      </c>
      <c r="I17" s="9">
        <v>21.99</v>
      </c>
      <c r="J17" s="30">
        <v>17</v>
      </c>
      <c r="K17" s="7">
        <v>17.989999999999998</v>
      </c>
      <c r="L17" s="4">
        <v>19</v>
      </c>
      <c r="M17" s="4">
        <v>19.989999999999998</v>
      </c>
      <c r="N17" s="4">
        <v>20.99</v>
      </c>
      <c r="O17" s="5">
        <v>21.99</v>
      </c>
      <c r="P17" s="7">
        <v>27.939870967741932</v>
      </c>
      <c r="Q17" s="4">
        <v>28.443096774193549</v>
      </c>
      <c r="R17" s="4">
        <v>28.971483870967738</v>
      </c>
      <c r="S17" s="4">
        <v>29.526290322580646</v>
      </c>
      <c r="T17" s="4">
        <v>30.108837096774195</v>
      </c>
      <c r="U17" s="5">
        <v>30.720511209677426</v>
      </c>
      <c r="V17" s="7">
        <v>27.74632258064516</v>
      </c>
      <c r="W17" s="4">
        <v>28.239870967741933</v>
      </c>
      <c r="X17" s="4">
        <v>28.758096774193543</v>
      </c>
      <c r="Y17" s="4">
        <v>29.30223387096774</v>
      </c>
      <c r="Z17" s="4">
        <v>29.873577822580643</v>
      </c>
      <c r="AA17" s="5">
        <v>30.473488971774195</v>
      </c>
      <c r="AB17" s="7">
        <v>27.939870967741932</v>
      </c>
      <c r="AC17" s="4">
        <v>28.443096774193549</v>
      </c>
      <c r="AD17" s="4">
        <v>28.971483870967738</v>
      </c>
      <c r="AE17" s="4">
        <v>29.526290322580646</v>
      </c>
      <c r="AF17" s="4">
        <v>30.7496385483871</v>
      </c>
      <c r="AG17" s="5">
        <v>31.393352733870966</v>
      </c>
      <c r="AH17" s="7">
        <v>27.939870967741932</v>
      </c>
      <c r="AI17" s="4">
        <v>28.443096774193549</v>
      </c>
      <c r="AJ17" s="4">
        <v>28.971483870967738</v>
      </c>
      <c r="AK17" s="4">
        <v>29.526290322580646</v>
      </c>
      <c r="AL17" s="4">
        <v>30.108837096774195</v>
      </c>
      <c r="AM17" s="5">
        <v>30.720511209677426</v>
      </c>
      <c r="AN17" s="7">
        <v>17.989999999999998</v>
      </c>
      <c r="AO17" s="4">
        <v>19</v>
      </c>
      <c r="AP17" s="4">
        <v>20</v>
      </c>
      <c r="AQ17" s="4">
        <v>21.99</v>
      </c>
      <c r="AR17" s="4">
        <v>22.99</v>
      </c>
      <c r="AS17" s="5">
        <v>23.99</v>
      </c>
      <c r="AT17" s="7">
        <v>27.74632258064516</v>
      </c>
      <c r="AU17" s="4">
        <v>28.239870967741933</v>
      </c>
      <c r="AV17" s="4">
        <v>28.758096774193543</v>
      </c>
      <c r="AW17" s="4">
        <v>29.30223387096774</v>
      </c>
      <c r="AX17" s="4">
        <v>29.873577822580643</v>
      </c>
      <c r="AY17" s="5">
        <v>30.473488971774195</v>
      </c>
      <c r="AZ17" s="7">
        <v>27.74632258064516</v>
      </c>
      <c r="BA17" s="4">
        <v>28.239870967741933</v>
      </c>
      <c r="BB17" s="4">
        <v>28.758096774193543</v>
      </c>
      <c r="BC17" s="4">
        <v>29.30223387096774</v>
      </c>
      <c r="BD17" s="4">
        <v>29.873577822580643</v>
      </c>
      <c r="BE17" s="5">
        <v>30.473488971774195</v>
      </c>
      <c r="BF17" s="7">
        <v>27.74632258064516</v>
      </c>
      <c r="BG17" s="4">
        <v>28.239870967741933</v>
      </c>
      <c r="BH17" s="4">
        <v>28.758096774193543</v>
      </c>
      <c r="BI17" s="4">
        <v>29.30223387096774</v>
      </c>
      <c r="BJ17" s="4">
        <v>29.873577822580643</v>
      </c>
      <c r="BK17" s="5">
        <v>30.473488971774195</v>
      </c>
      <c r="BL17" s="7">
        <v>27.74632258064516</v>
      </c>
      <c r="BM17" s="4">
        <v>28.239870967741933</v>
      </c>
      <c r="BN17" s="4">
        <v>28.758096774193543</v>
      </c>
      <c r="BO17" s="4">
        <v>29.30223387096774</v>
      </c>
      <c r="BP17" s="4">
        <v>29.873577822580643</v>
      </c>
      <c r="BQ17" s="5">
        <v>30.473488971774195</v>
      </c>
      <c r="BR17" s="7">
        <v>27.74632258064516</v>
      </c>
      <c r="BS17" s="4">
        <v>28.239870967741933</v>
      </c>
      <c r="BT17" s="4">
        <v>28.758096774193543</v>
      </c>
      <c r="BU17" s="4">
        <v>29.30223387096774</v>
      </c>
      <c r="BV17" s="4">
        <v>29.873577822580643</v>
      </c>
      <c r="BW17" s="5">
        <v>30.473488971774195</v>
      </c>
      <c r="BX17" s="7">
        <v>27.74632258064516</v>
      </c>
      <c r="BY17" s="4">
        <v>28.239870967741933</v>
      </c>
      <c r="BZ17" s="4">
        <v>28.758096774193543</v>
      </c>
      <c r="CA17" s="4">
        <v>29.30223387096774</v>
      </c>
      <c r="CB17" s="4">
        <v>29.873577822580643</v>
      </c>
      <c r="CC17" s="5">
        <v>30.473488971774195</v>
      </c>
      <c r="CD17" s="7">
        <v>27.74632258064516</v>
      </c>
      <c r="CE17" s="4">
        <v>28.239870967741933</v>
      </c>
      <c r="CF17" s="4">
        <v>28.758096774193543</v>
      </c>
      <c r="CG17" s="4">
        <v>29.30223387096774</v>
      </c>
      <c r="CH17" s="4">
        <v>29.873577822580643</v>
      </c>
      <c r="CI17" s="5">
        <v>30.473488971774195</v>
      </c>
      <c r="CJ17" s="7">
        <v>27.74632258064516</v>
      </c>
      <c r="CK17" s="4">
        <v>28.239870967741933</v>
      </c>
      <c r="CL17" s="4">
        <v>28.758096774193543</v>
      </c>
      <c r="CM17" s="4">
        <v>29.30223387096774</v>
      </c>
      <c r="CN17" s="4">
        <v>29.873577822580643</v>
      </c>
      <c r="CO17" s="5">
        <v>30.473488971774195</v>
      </c>
      <c r="CP17" s="7">
        <v>27.74632258064516</v>
      </c>
      <c r="CQ17" s="4">
        <v>28.239870967741933</v>
      </c>
      <c r="CR17" s="4">
        <v>28.758096774193543</v>
      </c>
      <c r="CS17" s="4">
        <v>29.30223387096774</v>
      </c>
      <c r="CT17" s="4">
        <v>29.873577822580643</v>
      </c>
      <c r="CU17" s="6">
        <v>30.473488971774195</v>
      </c>
      <c r="CV17" s="7">
        <v>21.17364705882353</v>
      </c>
      <c r="CW17" s="7">
        <v>21.17364705882353</v>
      </c>
      <c r="CX17" s="7">
        <v>21.17364705882353</v>
      </c>
      <c r="CY17" s="4">
        <v>22.308547058823528</v>
      </c>
      <c r="CZ17" s="4">
        <v>22.725292058823531</v>
      </c>
      <c r="DA17" s="5">
        <v>23.162874308823529</v>
      </c>
      <c r="DB17" s="7">
        <v>22.444235294117647</v>
      </c>
      <c r="DC17" s="4">
        <v>22.867764705882351</v>
      </c>
      <c r="DD17" s="4">
        <v>23.312470588235296</v>
      </c>
      <c r="DE17" s="4">
        <v>24.71329411764706</v>
      </c>
      <c r="DF17" s="4">
        <v>26.32424117647059</v>
      </c>
      <c r="DG17" s="5">
        <v>28.176830294117647</v>
      </c>
      <c r="DH17" s="7">
        <v>22.444235294117647</v>
      </c>
      <c r="DI17" s="4">
        <v>22.867764705882351</v>
      </c>
      <c r="DJ17" s="4">
        <v>23.312470588235296</v>
      </c>
      <c r="DK17" s="4">
        <v>24.71329411764706</v>
      </c>
      <c r="DL17" s="4">
        <v>26.32424117647059</v>
      </c>
      <c r="DM17" s="6">
        <v>28.176830294117647</v>
      </c>
      <c r="DN17" s="8">
        <v>26.708640000000003</v>
      </c>
      <c r="DO17" s="4">
        <v>27.669995294117644</v>
      </c>
      <c r="DP17" s="4">
        <v>28.208089411764711</v>
      </c>
      <c r="DQ17" s="4">
        <v>29.90308588235294</v>
      </c>
      <c r="DR17" s="6">
        <v>31.325847000000003</v>
      </c>
      <c r="DS17" s="9">
        <v>32.96689144411765</v>
      </c>
      <c r="DT17" s="8">
        <v>32.050368000000006</v>
      </c>
      <c r="DU17" s="4">
        <v>33.203994352941173</v>
      </c>
      <c r="DV17" s="4">
        <v>33.84970729411765</v>
      </c>
      <c r="DW17" s="4">
        <v>34.986610482352944</v>
      </c>
      <c r="DX17" s="6">
        <v>37.27775793</v>
      </c>
      <c r="DY17" s="9">
        <v>39.230600818499994</v>
      </c>
      <c r="DZ17" s="8">
        <v>32.050368000000006</v>
      </c>
      <c r="EA17" s="4">
        <v>33.203994352941173</v>
      </c>
      <c r="EB17" s="4">
        <v>33.84970729411765</v>
      </c>
      <c r="EC17" s="4">
        <v>34.986610482352944</v>
      </c>
      <c r="ED17" s="6">
        <v>37.27775793</v>
      </c>
      <c r="EE17" s="9">
        <v>39.230600818499994</v>
      </c>
      <c r="EF17" s="7">
        <v>22.444235294117647</v>
      </c>
      <c r="EG17" s="4">
        <v>22.867764705882351</v>
      </c>
      <c r="EH17" s="4">
        <v>23.312470588235296</v>
      </c>
      <c r="EI17" s="4">
        <v>24.71329411764706</v>
      </c>
      <c r="EJ17" s="4">
        <v>26.32424117647059</v>
      </c>
      <c r="EK17" s="5">
        <v>28.176830294117647</v>
      </c>
      <c r="EL17" s="29">
        <v>25.99</v>
      </c>
      <c r="EM17" s="30">
        <v>26.99</v>
      </c>
      <c r="EN17" s="4">
        <v>28</v>
      </c>
      <c r="EO17" s="4">
        <v>29.99</v>
      </c>
      <c r="EP17" s="4">
        <v>31.99</v>
      </c>
      <c r="EQ17" s="4">
        <v>33</v>
      </c>
      <c r="ER17" s="5">
        <v>34.99</v>
      </c>
      <c r="ES17" s="7">
        <v>27.939870967741932</v>
      </c>
      <c r="ET17" s="4">
        <v>28.443096774193549</v>
      </c>
      <c r="EU17" s="4">
        <v>28.971483870967738</v>
      </c>
      <c r="EV17" s="4">
        <v>30.081096774193551</v>
      </c>
      <c r="EW17" s="4">
        <v>31.301670967741938</v>
      </c>
      <c r="EX17" s="5">
        <v>32.644302580645167</v>
      </c>
      <c r="EY17" s="7">
        <v>29.488258064516124</v>
      </c>
      <c r="EZ17" s="4">
        <v>30.068903225806448</v>
      </c>
      <c r="FA17" s="4">
        <v>30.67858064516129</v>
      </c>
      <c r="FB17" s="4">
        <v>32.599064516129033</v>
      </c>
      <c r="FC17" s="4">
        <v>34.80762096774194</v>
      </c>
      <c r="FD17" s="5">
        <v>37.347460887096773</v>
      </c>
    </row>
    <row r="18" spans="2:160" x14ac:dyDescent="0.3">
      <c r="B18" s="2">
        <v>4.0010000000000003</v>
      </c>
      <c r="C18" s="3">
        <v>5</v>
      </c>
      <c r="D18" s="8">
        <v>17.989999999999998</v>
      </c>
      <c r="E18" s="4">
        <v>19</v>
      </c>
      <c r="F18" s="4">
        <v>19.989999999999998</v>
      </c>
      <c r="G18" s="4">
        <v>20.99</v>
      </c>
      <c r="H18" s="4">
        <v>21.99</v>
      </c>
      <c r="I18" s="9">
        <v>22.99</v>
      </c>
      <c r="J18" s="30">
        <v>17.989999999999998</v>
      </c>
      <c r="K18" s="4">
        <v>19</v>
      </c>
      <c r="L18" s="4">
        <v>19.989999999999998</v>
      </c>
      <c r="M18" s="4">
        <v>20.99</v>
      </c>
      <c r="N18" s="4">
        <v>21.99</v>
      </c>
      <c r="O18" s="5">
        <v>22.99</v>
      </c>
      <c r="P18" s="7">
        <v>29.778580645161288</v>
      </c>
      <c r="Q18" s="4">
        <v>30.301161290322579</v>
      </c>
      <c r="R18" s="4">
        <v>30.849870967741939</v>
      </c>
      <c r="S18" s="4">
        <v>31.426016129032256</v>
      </c>
      <c r="T18" s="4">
        <v>32.030968548387094</v>
      </c>
      <c r="U18" s="5">
        <v>32.666168588709681</v>
      </c>
      <c r="V18" s="7">
        <v>29.585032258064516</v>
      </c>
      <c r="W18" s="4">
        <v>30.09793548387097</v>
      </c>
      <c r="X18" s="4">
        <v>30.636483870967744</v>
      </c>
      <c r="Y18" s="4">
        <v>31.201959677419353</v>
      </c>
      <c r="Z18" s="4">
        <v>31.795709274193548</v>
      </c>
      <c r="AA18" s="5">
        <v>32.41914635080645</v>
      </c>
      <c r="AB18" s="7">
        <v>29.778580645161288</v>
      </c>
      <c r="AC18" s="4">
        <v>30.301161290322579</v>
      </c>
      <c r="AD18" s="4">
        <v>30.849870967741939</v>
      </c>
      <c r="AE18" s="4">
        <v>31.426016129032256</v>
      </c>
      <c r="AF18" s="4">
        <v>32.696416209677423</v>
      </c>
      <c r="AG18" s="5">
        <v>33.364888633064517</v>
      </c>
      <c r="AH18" s="7">
        <v>29.778580645161288</v>
      </c>
      <c r="AI18" s="4">
        <v>30.301161290322579</v>
      </c>
      <c r="AJ18" s="4">
        <v>30.849870967741939</v>
      </c>
      <c r="AK18" s="4">
        <v>31.426016129032256</v>
      </c>
      <c r="AL18" s="4">
        <v>32.030968548387094</v>
      </c>
      <c r="AM18" s="5">
        <v>32.666168588709681</v>
      </c>
      <c r="AN18" s="7">
        <v>19</v>
      </c>
      <c r="AO18" s="4">
        <v>20</v>
      </c>
      <c r="AP18" s="4">
        <v>21.99</v>
      </c>
      <c r="AQ18" s="4">
        <v>22.99</v>
      </c>
      <c r="AR18" s="4">
        <v>23.99</v>
      </c>
      <c r="AS18" s="5">
        <v>25</v>
      </c>
      <c r="AT18" s="7">
        <v>29.585032258064516</v>
      </c>
      <c r="AU18" s="4">
        <v>30.09793548387097</v>
      </c>
      <c r="AV18" s="4">
        <v>30.636483870967744</v>
      </c>
      <c r="AW18" s="4">
        <v>31.201959677419353</v>
      </c>
      <c r="AX18" s="4">
        <v>31.795709274193548</v>
      </c>
      <c r="AY18" s="5">
        <v>32.41914635080645</v>
      </c>
      <c r="AZ18" s="7">
        <v>29.585032258064516</v>
      </c>
      <c r="BA18" s="4">
        <v>30.09793548387097</v>
      </c>
      <c r="BB18" s="4">
        <v>30.636483870967744</v>
      </c>
      <c r="BC18" s="4">
        <v>31.201959677419353</v>
      </c>
      <c r="BD18" s="4">
        <v>31.795709274193548</v>
      </c>
      <c r="BE18" s="5">
        <v>32.41914635080645</v>
      </c>
      <c r="BF18" s="7">
        <v>29.585032258064516</v>
      </c>
      <c r="BG18" s="4">
        <v>30.09793548387097</v>
      </c>
      <c r="BH18" s="4">
        <v>30.636483870967744</v>
      </c>
      <c r="BI18" s="4">
        <v>31.201959677419353</v>
      </c>
      <c r="BJ18" s="4">
        <v>31.795709274193548</v>
      </c>
      <c r="BK18" s="5">
        <v>32.41914635080645</v>
      </c>
      <c r="BL18" s="7">
        <v>29.585032258064516</v>
      </c>
      <c r="BM18" s="4">
        <v>30.09793548387097</v>
      </c>
      <c r="BN18" s="4">
        <v>30.636483870967744</v>
      </c>
      <c r="BO18" s="4">
        <v>31.201959677419353</v>
      </c>
      <c r="BP18" s="4">
        <v>31.795709274193548</v>
      </c>
      <c r="BQ18" s="5">
        <v>32.41914635080645</v>
      </c>
      <c r="BR18" s="7">
        <v>29.585032258064516</v>
      </c>
      <c r="BS18" s="4">
        <v>30.09793548387097</v>
      </c>
      <c r="BT18" s="4">
        <v>30.636483870967744</v>
      </c>
      <c r="BU18" s="4">
        <v>31.201959677419353</v>
      </c>
      <c r="BV18" s="4">
        <v>31.795709274193548</v>
      </c>
      <c r="BW18" s="5">
        <v>32.41914635080645</v>
      </c>
      <c r="BX18" s="7">
        <v>29.585032258064516</v>
      </c>
      <c r="BY18" s="4">
        <v>30.09793548387097</v>
      </c>
      <c r="BZ18" s="4">
        <v>30.636483870967744</v>
      </c>
      <c r="CA18" s="4">
        <v>31.201959677419353</v>
      </c>
      <c r="CB18" s="4">
        <v>31.795709274193548</v>
      </c>
      <c r="CC18" s="5">
        <v>32.41914635080645</v>
      </c>
      <c r="CD18" s="7">
        <v>29.585032258064516</v>
      </c>
      <c r="CE18" s="4">
        <v>30.09793548387097</v>
      </c>
      <c r="CF18" s="4">
        <v>30.636483870967744</v>
      </c>
      <c r="CG18" s="4">
        <v>31.201959677419353</v>
      </c>
      <c r="CH18" s="4">
        <v>31.795709274193548</v>
      </c>
      <c r="CI18" s="5">
        <v>32.41914635080645</v>
      </c>
      <c r="CJ18" s="7">
        <v>29.585032258064516</v>
      </c>
      <c r="CK18" s="4">
        <v>30.09793548387097</v>
      </c>
      <c r="CL18" s="4">
        <v>30.636483870967744</v>
      </c>
      <c r="CM18" s="4">
        <v>31.201959677419353</v>
      </c>
      <c r="CN18" s="4">
        <v>31.795709274193548</v>
      </c>
      <c r="CO18" s="5">
        <v>32.41914635080645</v>
      </c>
      <c r="CP18" s="7">
        <v>29.585032258064516</v>
      </c>
      <c r="CQ18" s="4">
        <v>30.09793548387097</v>
      </c>
      <c r="CR18" s="4">
        <v>30.636483870967744</v>
      </c>
      <c r="CS18" s="4">
        <v>31.201959677419353</v>
      </c>
      <c r="CT18" s="4">
        <v>31.795709274193548</v>
      </c>
      <c r="CU18" s="5">
        <v>32.41914635080645</v>
      </c>
      <c r="CV18" s="7">
        <v>22.514823529411764</v>
      </c>
      <c r="CW18" s="7">
        <v>22.514823529411764</v>
      </c>
      <c r="CX18" s="7">
        <v>22.514823529411764</v>
      </c>
      <c r="CY18" s="4">
        <v>23.694229411764706</v>
      </c>
      <c r="CZ18" s="4">
        <v>24.127317352941176</v>
      </c>
      <c r="DA18" s="5">
        <v>24.582059691176472</v>
      </c>
      <c r="DB18" s="7">
        <v>23.785411764705881</v>
      </c>
      <c r="DC18" s="4">
        <v>24.223058823529414</v>
      </c>
      <c r="DD18" s="4">
        <v>24.682588235294116</v>
      </c>
      <c r="DE18" s="4">
        <v>26.13010588235294</v>
      </c>
      <c r="DF18" s="4">
        <v>27.794751176470587</v>
      </c>
      <c r="DG18" s="5">
        <v>29.709093264705881</v>
      </c>
      <c r="DH18" s="7">
        <v>23.785411764705881</v>
      </c>
      <c r="DI18" s="4">
        <v>24.223058823529414</v>
      </c>
      <c r="DJ18" s="4">
        <v>24.682588235294116</v>
      </c>
      <c r="DK18" s="4">
        <v>26.13010588235294</v>
      </c>
      <c r="DL18" s="4">
        <v>27.794751176470587</v>
      </c>
      <c r="DM18" s="6">
        <v>29.709093264705881</v>
      </c>
      <c r="DN18" s="8">
        <v>28.304639999999999</v>
      </c>
      <c r="DO18" s="4">
        <v>29.309901176470593</v>
      </c>
      <c r="DP18" s="4">
        <v>29.865931764705877</v>
      </c>
      <c r="DQ18" s="4">
        <v>31.617428117647059</v>
      </c>
      <c r="DR18" s="6">
        <v>33.075753899999995</v>
      </c>
      <c r="DS18" s="9">
        <v>34.759639119705881</v>
      </c>
      <c r="DT18" s="8">
        <v>33.965567999999998</v>
      </c>
      <c r="DU18" s="4">
        <v>35.171881411764716</v>
      </c>
      <c r="DV18" s="4">
        <v>35.839118117647054</v>
      </c>
      <c r="DW18" s="4">
        <v>36.992390897647056</v>
      </c>
      <c r="DX18" s="6">
        <v>39.360147140999992</v>
      </c>
      <c r="DY18" s="9">
        <v>41.363970552449999</v>
      </c>
      <c r="DZ18" s="8">
        <v>33.965567999999998</v>
      </c>
      <c r="EA18" s="4">
        <v>35.171881411764716</v>
      </c>
      <c r="EB18" s="4">
        <v>35.839118117647054</v>
      </c>
      <c r="EC18" s="4">
        <v>36.992390897647056</v>
      </c>
      <c r="ED18" s="6">
        <v>39.360147140999992</v>
      </c>
      <c r="EE18" s="9">
        <v>41.363970552449999</v>
      </c>
      <c r="EF18" s="7">
        <v>23.785411764705881</v>
      </c>
      <c r="EG18" s="4">
        <v>24.223058823529414</v>
      </c>
      <c r="EH18" s="4">
        <v>24.682588235294116</v>
      </c>
      <c r="EI18" s="4">
        <v>26.13010588235294</v>
      </c>
      <c r="EJ18" s="4">
        <v>27.794751176470587</v>
      </c>
      <c r="EK18" s="5">
        <v>29.709093264705881</v>
      </c>
      <c r="EL18" s="29">
        <v>26.99</v>
      </c>
      <c r="EM18" s="7">
        <v>28</v>
      </c>
      <c r="EN18" s="4">
        <v>29.99</v>
      </c>
      <c r="EO18" s="4">
        <v>31.99</v>
      </c>
      <c r="EP18" s="4">
        <v>33</v>
      </c>
      <c r="EQ18" s="4">
        <v>34.99</v>
      </c>
      <c r="ER18" s="5">
        <v>36</v>
      </c>
      <c r="ES18" s="7">
        <v>29.778580645161288</v>
      </c>
      <c r="ET18" s="4">
        <v>30.301161290322579</v>
      </c>
      <c r="EU18" s="4">
        <v>30.849870967741939</v>
      </c>
      <c r="EV18" s="4">
        <v>32.002161290322583</v>
      </c>
      <c r="EW18" s="4">
        <v>33.269680645161294</v>
      </c>
      <c r="EX18" s="5">
        <v>34.663951935483873</v>
      </c>
      <c r="EY18" s="7">
        <v>31.32696774193548</v>
      </c>
      <c r="EZ18" s="4">
        <v>31.926967741935485</v>
      </c>
      <c r="FA18" s="4">
        <v>32.55696774193548</v>
      </c>
      <c r="FB18" s="4">
        <v>34.541467741935485</v>
      </c>
      <c r="FC18" s="4">
        <v>36.823642741935487</v>
      </c>
      <c r="FD18" s="5">
        <v>39.448143991935481</v>
      </c>
    </row>
    <row r="19" spans="2:160" x14ac:dyDescent="0.3">
      <c r="B19" s="2">
        <v>5.0010000000000003</v>
      </c>
      <c r="C19" s="3">
        <v>6</v>
      </c>
      <c r="D19" s="8">
        <v>19</v>
      </c>
      <c r="E19" s="4">
        <v>19.989999999999998</v>
      </c>
      <c r="F19" s="4">
        <v>20.99</v>
      </c>
      <c r="G19" s="4">
        <v>21.99</v>
      </c>
      <c r="H19" s="4">
        <v>22.99</v>
      </c>
      <c r="I19" s="9">
        <v>23.69</v>
      </c>
      <c r="J19" s="30">
        <v>19</v>
      </c>
      <c r="K19" s="4">
        <v>19.989999999999998</v>
      </c>
      <c r="L19" s="4">
        <v>20.99</v>
      </c>
      <c r="M19" s="4">
        <v>21.99</v>
      </c>
      <c r="N19" s="4">
        <v>22.99</v>
      </c>
      <c r="O19" s="5">
        <v>23.69</v>
      </c>
      <c r="P19" s="7">
        <v>31.617290322580644</v>
      </c>
      <c r="Q19" s="4">
        <v>32.159225806451609</v>
      </c>
      <c r="R19" s="4">
        <v>32.728258064516126</v>
      </c>
      <c r="S19" s="4">
        <v>33.325741935483876</v>
      </c>
      <c r="T19" s="4">
        <v>33.953100000000006</v>
      </c>
      <c r="U19" s="5">
        <v>34.611825967741936</v>
      </c>
      <c r="V19" s="7">
        <v>31.423741935483868</v>
      </c>
      <c r="W19" s="4">
        <v>31.956000000000003</v>
      </c>
      <c r="X19" s="4">
        <v>32.514870967741942</v>
      </c>
      <c r="Y19" s="4">
        <v>33.101685483870966</v>
      </c>
      <c r="Z19" s="4">
        <v>33.717840725806454</v>
      </c>
      <c r="AA19" s="5">
        <v>34.364803729838712</v>
      </c>
      <c r="AB19" s="7">
        <v>31.617290322580644</v>
      </c>
      <c r="AC19" s="4">
        <v>32.159225806451609</v>
      </c>
      <c r="AD19" s="4">
        <v>32.728258064516126</v>
      </c>
      <c r="AE19" s="4">
        <v>33.325741935483876</v>
      </c>
      <c r="AF19" s="4">
        <v>34.643193870967742</v>
      </c>
      <c r="AG19" s="5">
        <v>35.336424532258064</v>
      </c>
      <c r="AH19" s="7">
        <v>31.617290322580644</v>
      </c>
      <c r="AI19" s="4">
        <v>32.159225806451609</v>
      </c>
      <c r="AJ19" s="4">
        <v>32.728258064516126</v>
      </c>
      <c r="AK19" s="4">
        <v>33.325741935483876</v>
      </c>
      <c r="AL19" s="4">
        <v>33.953100000000006</v>
      </c>
      <c r="AM19" s="5">
        <v>34.611825967741936</v>
      </c>
      <c r="AN19" s="7">
        <v>20</v>
      </c>
      <c r="AO19" s="4">
        <v>21.99</v>
      </c>
      <c r="AP19" s="4">
        <v>22.99</v>
      </c>
      <c r="AQ19" s="4">
        <v>23.99</v>
      </c>
      <c r="AR19" s="4">
        <v>25</v>
      </c>
      <c r="AS19" s="5">
        <v>25.99</v>
      </c>
      <c r="AT19" s="7">
        <v>31.423741935483868</v>
      </c>
      <c r="AU19" s="4">
        <v>31.956000000000003</v>
      </c>
      <c r="AV19" s="4">
        <v>32.514870967741942</v>
      </c>
      <c r="AW19" s="4">
        <v>33.101685483870966</v>
      </c>
      <c r="AX19" s="4">
        <v>33.717840725806454</v>
      </c>
      <c r="AY19" s="5">
        <v>34.364803729838712</v>
      </c>
      <c r="AZ19" s="7">
        <v>31.423741935483868</v>
      </c>
      <c r="BA19" s="4">
        <v>31.956000000000003</v>
      </c>
      <c r="BB19" s="4">
        <v>32.514870967741942</v>
      </c>
      <c r="BC19" s="4">
        <v>33.101685483870966</v>
      </c>
      <c r="BD19" s="4">
        <v>33.717840725806454</v>
      </c>
      <c r="BE19" s="5">
        <v>34.364803729838712</v>
      </c>
      <c r="BF19" s="7">
        <v>31.423741935483868</v>
      </c>
      <c r="BG19" s="4">
        <v>31.956000000000003</v>
      </c>
      <c r="BH19" s="4">
        <v>32.514870967741942</v>
      </c>
      <c r="BI19" s="4">
        <v>33.101685483870966</v>
      </c>
      <c r="BJ19" s="4">
        <v>33.717840725806454</v>
      </c>
      <c r="BK19" s="5">
        <v>34.364803729838712</v>
      </c>
      <c r="BL19" s="7">
        <v>31.423741935483868</v>
      </c>
      <c r="BM19" s="4">
        <v>31.956000000000003</v>
      </c>
      <c r="BN19" s="4">
        <v>32.514870967741942</v>
      </c>
      <c r="BO19" s="4">
        <v>33.101685483870966</v>
      </c>
      <c r="BP19" s="4">
        <v>33.717840725806454</v>
      </c>
      <c r="BQ19" s="5">
        <v>34.364803729838712</v>
      </c>
      <c r="BR19" s="7">
        <v>31.423741935483868</v>
      </c>
      <c r="BS19" s="4">
        <v>31.956000000000003</v>
      </c>
      <c r="BT19" s="4">
        <v>32.514870967741942</v>
      </c>
      <c r="BU19" s="4">
        <v>33.101685483870966</v>
      </c>
      <c r="BV19" s="4">
        <v>33.717840725806454</v>
      </c>
      <c r="BW19" s="5">
        <v>34.364803729838712</v>
      </c>
      <c r="BX19" s="7">
        <v>31.423741935483868</v>
      </c>
      <c r="BY19" s="4">
        <v>31.956000000000003</v>
      </c>
      <c r="BZ19" s="4">
        <v>32.514870967741942</v>
      </c>
      <c r="CA19" s="4">
        <v>33.101685483870966</v>
      </c>
      <c r="CB19" s="4">
        <v>33.717840725806454</v>
      </c>
      <c r="CC19" s="5">
        <v>34.364803729838712</v>
      </c>
      <c r="CD19" s="7">
        <v>31.423741935483868</v>
      </c>
      <c r="CE19" s="4">
        <v>31.956000000000003</v>
      </c>
      <c r="CF19" s="4">
        <v>32.514870967741942</v>
      </c>
      <c r="CG19" s="4">
        <v>33.101685483870966</v>
      </c>
      <c r="CH19" s="4">
        <v>33.717840725806454</v>
      </c>
      <c r="CI19" s="5">
        <v>34.364803729838712</v>
      </c>
      <c r="CJ19" s="7">
        <v>31.423741935483868</v>
      </c>
      <c r="CK19" s="4">
        <v>31.956000000000003</v>
      </c>
      <c r="CL19" s="4">
        <v>32.514870967741942</v>
      </c>
      <c r="CM19" s="4">
        <v>33.101685483870966</v>
      </c>
      <c r="CN19" s="4">
        <v>33.717840725806454</v>
      </c>
      <c r="CO19" s="5">
        <v>34.364803729838712</v>
      </c>
      <c r="CP19" s="7">
        <v>31.423741935483868</v>
      </c>
      <c r="CQ19" s="4">
        <v>31.956000000000003</v>
      </c>
      <c r="CR19" s="4">
        <v>32.514870967741942</v>
      </c>
      <c r="CS19" s="4">
        <v>33.101685483870966</v>
      </c>
      <c r="CT19" s="4">
        <v>33.717840725806454</v>
      </c>
      <c r="CU19" s="5">
        <v>34.364803729838712</v>
      </c>
      <c r="CV19" s="7">
        <v>23.855999999999998</v>
      </c>
      <c r="CW19" s="4">
        <v>24.244235294117647</v>
      </c>
      <c r="CX19" s="4">
        <v>24.651882352941175</v>
      </c>
      <c r="CY19" s="4">
        <v>25.079911764705884</v>
      </c>
      <c r="CZ19" s="4">
        <v>25.529342647058826</v>
      </c>
      <c r="DA19" s="5">
        <v>26.001245073529414</v>
      </c>
      <c r="DB19" s="7">
        <v>25.126588235294115</v>
      </c>
      <c r="DC19" s="4">
        <v>25.578352941176473</v>
      </c>
      <c r="DD19" s="4">
        <v>26.052705882352942</v>
      </c>
      <c r="DE19" s="4">
        <v>27.546917647058823</v>
      </c>
      <c r="DF19" s="4">
        <v>29.265261176470585</v>
      </c>
      <c r="DG19" s="5">
        <v>31.241356235294116</v>
      </c>
      <c r="DH19" s="7">
        <v>25.126588235294115</v>
      </c>
      <c r="DI19" s="4">
        <v>25.578352941176473</v>
      </c>
      <c r="DJ19" s="4">
        <v>26.052705882352942</v>
      </c>
      <c r="DK19" s="4">
        <v>27.546917647058823</v>
      </c>
      <c r="DL19" s="4">
        <v>29.265261176470585</v>
      </c>
      <c r="DM19" s="6">
        <v>31.241356235294116</v>
      </c>
      <c r="DN19" s="8">
        <v>29.900639999999996</v>
      </c>
      <c r="DO19" s="4">
        <v>30.949807058823531</v>
      </c>
      <c r="DP19" s="4">
        <v>31.523774117647058</v>
      </c>
      <c r="DQ19" s="4">
        <v>33.331770352941177</v>
      </c>
      <c r="DR19" s="6">
        <v>34.825660799999994</v>
      </c>
      <c r="DS19" s="9">
        <v>36.552386795294119</v>
      </c>
      <c r="DT19" s="8">
        <v>35.880767999999996</v>
      </c>
      <c r="DU19" s="4">
        <v>37.139768470588237</v>
      </c>
      <c r="DV19" s="4">
        <v>37.828528941176472</v>
      </c>
      <c r="DW19" s="4">
        <v>38.998171312941182</v>
      </c>
      <c r="DX19" s="6">
        <v>41.442536351999991</v>
      </c>
      <c r="DY19" s="9">
        <v>43.497340286399997</v>
      </c>
      <c r="DZ19" s="8">
        <v>35.880767999999996</v>
      </c>
      <c r="EA19" s="4">
        <v>37.139768470588237</v>
      </c>
      <c r="EB19" s="4">
        <v>37.828528941176472</v>
      </c>
      <c r="EC19" s="4">
        <v>38.998171312941182</v>
      </c>
      <c r="ED19" s="6">
        <v>41.442536351999991</v>
      </c>
      <c r="EE19" s="9">
        <v>43.497340286399997</v>
      </c>
      <c r="EF19" s="7">
        <v>25.126588235294115</v>
      </c>
      <c r="EG19" s="4">
        <v>25.578352941176473</v>
      </c>
      <c r="EH19" s="4">
        <v>26.052705882352942</v>
      </c>
      <c r="EI19" s="4">
        <v>27.546917647058823</v>
      </c>
      <c r="EJ19" s="4">
        <v>29.265261176470585</v>
      </c>
      <c r="EK19" s="5">
        <v>31.241356235294116</v>
      </c>
      <c r="EL19" s="14">
        <v>28</v>
      </c>
      <c r="EM19" s="7">
        <v>29.99</v>
      </c>
      <c r="EN19" s="4">
        <v>31.99</v>
      </c>
      <c r="EO19" s="4">
        <v>33</v>
      </c>
      <c r="EP19" s="4">
        <v>34.99</v>
      </c>
      <c r="EQ19" s="4">
        <v>36</v>
      </c>
      <c r="ER19" s="5">
        <v>37</v>
      </c>
      <c r="ES19" s="7">
        <v>31.617290322580644</v>
      </c>
      <c r="ET19" s="4">
        <v>32.159225806451609</v>
      </c>
      <c r="EU19" s="4">
        <v>32.728258064516126</v>
      </c>
      <c r="EV19" s="4">
        <v>33.923225806451619</v>
      </c>
      <c r="EW19" s="4">
        <v>35.237690322580647</v>
      </c>
      <c r="EX19" s="5">
        <v>36.683601290322585</v>
      </c>
      <c r="EY19" s="7">
        <v>33.165677419354836</v>
      </c>
      <c r="EZ19" s="4">
        <v>33.785032258064518</v>
      </c>
      <c r="FA19" s="4">
        <v>34.435354838709678</v>
      </c>
      <c r="FB19" s="4">
        <v>36.483870967741936</v>
      </c>
      <c r="FC19" s="4">
        <v>38.839664516129027</v>
      </c>
      <c r="FD19" s="5">
        <v>41.54882709677419</v>
      </c>
    </row>
    <row r="20" spans="2:160" x14ac:dyDescent="0.3">
      <c r="B20" s="2">
        <v>6.0010000000000003</v>
      </c>
      <c r="C20" s="3">
        <v>7</v>
      </c>
      <c r="D20" s="8">
        <v>19.989999999999998</v>
      </c>
      <c r="E20" s="4">
        <v>20.99</v>
      </c>
      <c r="F20" s="4">
        <v>21.99</v>
      </c>
      <c r="G20" s="4">
        <v>22.99</v>
      </c>
      <c r="H20" s="4">
        <v>23.69</v>
      </c>
      <c r="I20" s="9">
        <v>24.12</v>
      </c>
      <c r="J20" s="30">
        <v>19.989999999999998</v>
      </c>
      <c r="K20" s="4">
        <v>20.99</v>
      </c>
      <c r="L20" s="4">
        <v>21.99</v>
      </c>
      <c r="M20" s="4">
        <v>22.99</v>
      </c>
      <c r="N20" s="4">
        <v>23.69</v>
      </c>
      <c r="O20" s="5">
        <v>24.12</v>
      </c>
      <c r="P20" s="7">
        <v>33.456000000000003</v>
      </c>
      <c r="Q20" s="4">
        <v>34.017290322580642</v>
      </c>
      <c r="R20" s="4">
        <v>34.606645161290324</v>
      </c>
      <c r="S20" s="4">
        <v>35.225467741935489</v>
      </c>
      <c r="T20" s="4">
        <v>35.875231451612905</v>
      </c>
      <c r="U20" s="5">
        <v>36.557483346774191</v>
      </c>
      <c r="V20" s="7">
        <v>33.262451612903227</v>
      </c>
      <c r="W20" s="4">
        <v>33.814064516129037</v>
      </c>
      <c r="X20" s="4">
        <v>34.393258064516132</v>
      </c>
      <c r="Y20" s="4">
        <v>35.001411290322586</v>
      </c>
      <c r="Z20" s="4">
        <v>35.639972177419359</v>
      </c>
      <c r="AA20" s="5">
        <v>36.310461108870975</v>
      </c>
      <c r="AB20" s="7">
        <v>33.456000000000003</v>
      </c>
      <c r="AC20" s="4">
        <v>34.017290322580642</v>
      </c>
      <c r="AD20" s="4">
        <v>34.606645161290324</v>
      </c>
      <c r="AE20" s="4">
        <v>35.225467741935489</v>
      </c>
      <c r="AF20" s="4">
        <v>36.589971532258062</v>
      </c>
      <c r="AG20" s="5">
        <v>37.307960431451619</v>
      </c>
      <c r="AH20" s="7">
        <v>33.456000000000003</v>
      </c>
      <c r="AI20" s="4">
        <v>34.017290322580642</v>
      </c>
      <c r="AJ20" s="4">
        <v>34.606645161290324</v>
      </c>
      <c r="AK20" s="4">
        <v>35.225467741935489</v>
      </c>
      <c r="AL20" s="4">
        <v>35.875231451612905</v>
      </c>
      <c r="AM20" s="5">
        <v>36.557483346774191</v>
      </c>
      <c r="AN20" s="7">
        <v>21.99</v>
      </c>
      <c r="AO20" s="4">
        <v>22.99</v>
      </c>
      <c r="AP20" s="4">
        <v>23.99</v>
      </c>
      <c r="AQ20" s="4">
        <v>25</v>
      </c>
      <c r="AR20" s="4">
        <v>25.99</v>
      </c>
      <c r="AS20" s="5">
        <v>26.99</v>
      </c>
      <c r="AT20" s="7">
        <v>33.262451612903227</v>
      </c>
      <c r="AU20" s="4">
        <v>33.814064516129037</v>
      </c>
      <c r="AV20" s="4">
        <v>34.393258064516132</v>
      </c>
      <c r="AW20" s="4">
        <v>35.001411290322586</v>
      </c>
      <c r="AX20" s="4">
        <v>35.639972177419359</v>
      </c>
      <c r="AY20" s="5">
        <v>36.310461108870975</v>
      </c>
      <c r="AZ20" s="7">
        <v>33.262451612903227</v>
      </c>
      <c r="BA20" s="4">
        <v>33.814064516129037</v>
      </c>
      <c r="BB20" s="4">
        <v>34.393258064516132</v>
      </c>
      <c r="BC20" s="4">
        <v>35.001411290322586</v>
      </c>
      <c r="BD20" s="4">
        <v>35.639972177419359</v>
      </c>
      <c r="BE20" s="5">
        <v>36.310461108870975</v>
      </c>
      <c r="BF20" s="7">
        <v>33.262451612903227</v>
      </c>
      <c r="BG20" s="4">
        <v>33.814064516129037</v>
      </c>
      <c r="BH20" s="4">
        <v>34.393258064516132</v>
      </c>
      <c r="BI20" s="4">
        <v>35.001411290322586</v>
      </c>
      <c r="BJ20" s="4">
        <v>35.639972177419359</v>
      </c>
      <c r="BK20" s="5">
        <v>36.310461108870975</v>
      </c>
      <c r="BL20" s="7">
        <v>33.262451612903227</v>
      </c>
      <c r="BM20" s="4">
        <v>33.814064516129037</v>
      </c>
      <c r="BN20" s="4">
        <v>34.393258064516132</v>
      </c>
      <c r="BO20" s="4">
        <v>35.001411290322586</v>
      </c>
      <c r="BP20" s="4">
        <v>35.639972177419359</v>
      </c>
      <c r="BQ20" s="5">
        <v>36.310461108870975</v>
      </c>
      <c r="BR20" s="7">
        <v>33.262451612903227</v>
      </c>
      <c r="BS20" s="4">
        <v>33.814064516129037</v>
      </c>
      <c r="BT20" s="4">
        <v>34.393258064516132</v>
      </c>
      <c r="BU20" s="4">
        <v>35.001411290322586</v>
      </c>
      <c r="BV20" s="4">
        <v>35.639972177419359</v>
      </c>
      <c r="BW20" s="5">
        <v>36.310461108870975</v>
      </c>
      <c r="BX20" s="7">
        <v>33.262451612903227</v>
      </c>
      <c r="BY20" s="4">
        <v>33.814064516129037</v>
      </c>
      <c r="BZ20" s="4">
        <v>34.393258064516132</v>
      </c>
      <c r="CA20" s="4">
        <v>35.001411290322586</v>
      </c>
      <c r="CB20" s="4">
        <v>35.639972177419359</v>
      </c>
      <c r="CC20" s="5">
        <v>36.310461108870975</v>
      </c>
      <c r="CD20" s="7">
        <v>33.262451612903227</v>
      </c>
      <c r="CE20" s="4">
        <v>33.814064516129037</v>
      </c>
      <c r="CF20" s="4">
        <v>34.393258064516132</v>
      </c>
      <c r="CG20" s="4">
        <v>35.001411290322586</v>
      </c>
      <c r="CH20" s="4">
        <v>35.639972177419359</v>
      </c>
      <c r="CI20" s="5">
        <v>36.310461108870975</v>
      </c>
      <c r="CJ20" s="7">
        <v>33.262451612903227</v>
      </c>
      <c r="CK20" s="4">
        <v>33.814064516129037</v>
      </c>
      <c r="CL20" s="4">
        <v>34.393258064516132</v>
      </c>
      <c r="CM20" s="4">
        <v>35.001411290322586</v>
      </c>
      <c r="CN20" s="4">
        <v>35.639972177419359</v>
      </c>
      <c r="CO20" s="5">
        <v>36.310461108870975</v>
      </c>
      <c r="CP20" s="7">
        <v>33.262451612903227</v>
      </c>
      <c r="CQ20" s="4">
        <v>33.814064516129037</v>
      </c>
      <c r="CR20" s="4">
        <v>34.393258064516132</v>
      </c>
      <c r="CS20" s="4">
        <v>35.001411290322586</v>
      </c>
      <c r="CT20" s="4">
        <v>35.639972177419359</v>
      </c>
      <c r="CU20" s="5">
        <v>36.310461108870975</v>
      </c>
      <c r="CV20" s="7">
        <v>25.197176470588232</v>
      </c>
      <c r="CW20" s="4">
        <v>25.599529411764706</v>
      </c>
      <c r="CX20" s="4">
        <v>26.022000000000002</v>
      </c>
      <c r="CY20" s="4">
        <v>26.465594117647061</v>
      </c>
      <c r="CZ20" s="4">
        <v>26.931367941176475</v>
      </c>
      <c r="DA20" s="5">
        <v>27.420430455882357</v>
      </c>
      <c r="DB20" s="7">
        <v>26.467764705882356</v>
      </c>
      <c r="DC20" s="4">
        <v>26.933647058823524</v>
      </c>
      <c r="DD20" s="4">
        <v>27.422823529411769</v>
      </c>
      <c r="DE20" s="4">
        <v>28.963729411764703</v>
      </c>
      <c r="DF20" s="4">
        <v>30.735771176470585</v>
      </c>
      <c r="DG20" s="5">
        <v>32.773619205882355</v>
      </c>
      <c r="DH20" s="7">
        <v>26.467764705882356</v>
      </c>
      <c r="DI20" s="4">
        <v>26.933647058823524</v>
      </c>
      <c r="DJ20" s="4">
        <v>27.422823529411769</v>
      </c>
      <c r="DK20" s="4">
        <v>28.963729411764703</v>
      </c>
      <c r="DL20" s="4">
        <v>30.735771176470585</v>
      </c>
      <c r="DM20" s="6">
        <v>32.773619205882355</v>
      </c>
      <c r="DN20" s="8">
        <v>31.496640000000003</v>
      </c>
      <c r="DO20" s="4">
        <v>32.589712941176465</v>
      </c>
      <c r="DP20" s="4">
        <v>33.181616470588239</v>
      </c>
      <c r="DQ20" s="4">
        <v>35.046112588235289</v>
      </c>
      <c r="DR20" s="6">
        <v>36.575567699999993</v>
      </c>
      <c r="DS20" s="9">
        <v>38.34513447088235</v>
      </c>
      <c r="DT20" s="8">
        <v>37.795968000000002</v>
      </c>
      <c r="DU20" s="4">
        <v>39.107655529411758</v>
      </c>
      <c r="DV20" s="4">
        <v>39.817939764705883</v>
      </c>
      <c r="DW20" s="4">
        <v>41.003951728235293</v>
      </c>
      <c r="DX20" s="6">
        <v>43.524925562999996</v>
      </c>
      <c r="DY20" s="9">
        <v>45.630710020349994</v>
      </c>
      <c r="DZ20" s="8">
        <v>37.795968000000002</v>
      </c>
      <c r="EA20" s="4">
        <v>39.107655529411758</v>
      </c>
      <c r="EB20" s="4">
        <v>39.817939764705883</v>
      </c>
      <c r="EC20" s="4">
        <v>41.003951728235293</v>
      </c>
      <c r="ED20" s="6">
        <v>43.524925562999996</v>
      </c>
      <c r="EE20" s="9">
        <v>45.630710020349994</v>
      </c>
      <c r="EF20" s="7">
        <v>26.467764705882356</v>
      </c>
      <c r="EG20" s="4">
        <v>26.933647058823524</v>
      </c>
      <c r="EH20" s="4">
        <v>27.422823529411769</v>
      </c>
      <c r="EI20" s="4">
        <v>28.963729411764703</v>
      </c>
      <c r="EJ20" s="4">
        <v>30.735771176470585</v>
      </c>
      <c r="EK20" s="5">
        <v>32.773619205882355</v>
      </c>
      <c r="EL20" s="14">
        <v>29.99</v>
      </c>
      <c r="EM20" s="7">
        <v>31.99</v>
      </c>
      <c r="EN20" s="4">
        <v>33</v>
      </c>
      <c r="EO20" s="4">
        <v>34.99</v>
      </c>
      <c r="EP20" s="4">
        <v>36</v>
      </c>
      <c r="EQ20" s="4">
        <v>37</v>
      </c>
      <c r="ER20" s="5">
        <v>38.99</v>
      </c>
      <c r="ES20" s="7">
        <v>33.456000000000003</v>
      </c>
      <c r="ET20" s="4">
        <v>34.017290322580642</v>
      </c>
      <c r="EU20" s="4">
        <v>34.606645161290324</v>
      </c>
      <c r="EV20" s="4">
        <v>35.844290322580648</v>
      </c>
      <c r="EW20" s="4">
        <v>37.2057</v>
      </c>
      <c r="EX20" s="5">
        <v>38.70325064516129</v>
      </c>
      <c r="EY20" s="7">
        <v>35.004387096774195</v>
      </c>
      <c r="EZ20" s="4">
        <v>35.643096774193545</v>
      </c>
      <c r="FA20" s="4">
        <v>36.313741935483876</v>
      </c>
      <c r="FB20" s="4">
        <v>38.426274193548387</v>
      </c>
      <c r="FC20" s="4">
        <v>40.855686290322581</v>
      </c>
      <c r="FD20" s="5">
        <v>43.649510201612898</v>
      </c>
    </row>
    <row r="21" spans="2:160" x14ac:dyDescent="0.3">
      <c r="B21" s="2">
        <v>7.0010000000000003</v>
      </c>
      <c r="C21" s="3">
        <v>8</v>
      </c>
      <c r="D21" s="8">
        <v>34.907612903225811</v>
      </c>
      <c r="E21" s="4">
        <v>35.46890322580645</v>
      </c>
      <c r="F21" s="4">
        <v>36.058258064516124</v>
      </c>
      <c r="G21" s="4">
        <v>36.677080645161283</v>
      </c>
      <c r="H21" s="4">
        <v>37.326844354838713</v>
      </c>
      <c r="I21" s="9">
        <v>38.009096249999999</v>
      </c>
      <c r="J21" s="30">
        <v>35.101161290322587</v>
      </c>
      <c r="K21" s="4">
        <v>35.672129032258063</v>
      </c>
      <c r="L21" s="4">
        <v>36.271645161290323</v>
      </c>
      <c r="M21" s="4">
        <v>36.901137096774193</v>
      </c>
      <c r="N21" s="4">
        <v>37.562103629032265</v>
      </c>
      <c r="O21" s="5">
        <v>38.25611848790323</v>
      </c>
      <c r="P21" s="7">
        <v>35.294709677419355</v>
      </c>
      <c r="Q21" s="4">
        <v>35.875354838709676</v>
      </c>
      <c r="R21" s="4">
        <v>36.485032258064521</v>
      </c>
      <c r="S21" s="4">
        <v>37.125193548387102</v>
      </c>
      <c r="T21" s="4">
        <v>37.797362903225817</v>
      </c>
      <c r="U21" s="5">
        <v>38.50314072580646</v>
      </c>
      <c r="V21" s="7">
        <v>35.101161290322587</v>
      </c>
      <c r="W21" s="4">
        <v>35.672129032258063</v>
      </c>
      <c r="X21" s="4">
        <v>36.271645161290323</v>
      </c>
      <c r="Y21" s="4">
        <v>36.901137096774193</v>
      </c>
      <c r="Z21" s="4">
        <v>37.562103629032265</v>
      </c>
      <c r="AA21" s="5">
        <v>38.25611848790323</v>
      </c>
      <c r="AB21" s="7">
        <v>35.294709677419355</v>
      </c>
      <c r="AC21" s="4">
        <v>35.875354838709676</v>
      </c>
      <c r="AD21" s="4">
        <v>36.485032258064521</v>
      </c>
      <c r="AE21" s="4">
        <v>37.125193548387102</v>
      </c>
      <c r="AF21" s="4">
        <v>38.536749193548395</v>
      </c>
      <c r="AG21" s="5">
        <v>39.279496330645166</v>
      </c>
      <c r="AH21" s="7">
        <v>35.294709677419355</v>
      </c>
      <c r="AI21" s="4">
        <v>35.875354838709676</v>
      </c>
      <c r="AJ21" s="4">
        <v>36.485032258064521</v>
      </c>
      <c r="AK21" s="4">
        <v>37.125193548387102</v>
      </c>
      <c r="AL21" s="4">
        <v>37.797362903225817</v>
      </c>
      <c r="AM21" s="5">
        <v>38.50314072580646</v>
      </c>
      <c r="AN21" s="7">
        <v>35.294709677419355</v>
      </c>
      <c r="AO21" s="4">
        <v>35.875354838709676</v>
      </c>
      <c r="AP21" s="4">
        <v>36.485032258064521</v>
      </c>
      <c r="AQ21" s="4">
        <v>37.125193548387102</v>
      </c>
      <c r="AR21" s="4">
        <v>37.797362903225817</v>
      </c>
      <c r="AS21" s="5">
        <v>38.50314072580646</v>
      </c>
      <c r="AT21" s="7">
        <v>35.101161290322587</v>
      </c>
      <c r="AU21" s="4">
        <v>35.672129032258063</v>
      </c>
      <c r="AV21" s="4">
        <v>36.271645161290323</v>
      </c>
      <c r="AW21" s="4">
        <v>36.901137096774193</v>
      </c>
      <c r="AX21" s="4">
        <v>37.562103629032265</v>
      </c>
      <c r="AY21" s="5">
        <v>38.25611848790323</v>
      </c>
      <c r="AZ21" s="7">
        <v>35.101161290322587</v>
      </c>
      <c r="BA21" s="4">
        <v>35.672129032258063</v>
      </c>
      <c r="BB21" s="4">
        <v>36.271645161290323</v>
      </c>
      <c r="BC21" s="4">
        <v>36.901137096774193</v>
      </c>
      <c r="BD21" s="4">
        <v>37.562103629032265</v>
      </c>
      <c r="BE21" s="5">
        <v>38.25611848790323</v>
      </c>
      <c r="BF21" s="7">
        <v>35.101161290322587</v>
      </c>
      <c r="BG21" s="4">
        <v>35.672129032258063</v>
      </c>
      <c r="BH21" s="4">
        <v>36.271645161290323</v>
      </c>
      <c r="BI21" s="4">
        <v>36.901137096774193</v>
      </c>
      <c r="BJ21" s="4">
        <v>37.562103629032265</v>
      </c>
      <c r="BK21" s="5">
        <v>38.25611848790323</v>
      </c>
      <c r="BL21" s="7">
        <v>35.101161290322587</v>
      </c>
      <c r="BM21" s="4">
        <v>35.672129032258063</v>
      </c>
      <c r="BN21" s="4">
        <v>36.271645161290323</v>
      </c>
      <c r="BO21" s="4">
        <v>36.901137096774193</v>
      </c>
      <c r="BP21" s="4">
        <v>37.562103629032265</v>
      </c>
      <c r="BQ21" s="5">
        <v>38.25611848790323</v>
      </c>
      <c r="BR21" s="7">
        <v>35.101161290322587</v>
      </c>
      <c r="BS21" s="4">
        <v>35.672129032258063</v>
      </c>
      <c r="BT21" s="4">
        <v>36.271645161290323</v>
      </c>
      <c r="BU21" s="4">
        <v>36.901137096774193</v>
      </c>
      <c r="BV21" s="4">
        <v>37.562103629032265</v>
      </c>
      <c r="BW21" s="5">
        <v>38.25611848790323</v>
      </c>
      <c r="BX21" s="7">
        <v>35.101161290322587</v>
      </c>
      <c r="BY21" s="4">
        <v>35.672129032258063</v>
      </c>
      <c r="BZ21" s="4">
        <v>36.271645161290323</v>
      </c>
      <c r="CA21" s="4">
        <v>36.901137096774193</v>
      </c>
      <c r="CB21" s="4">
        <v>37.562103629032265</v>
      </c>
      <c r="CC21" s="5">
        <v>38.25611848790323</v>
      </c>
      <c r="CD21" s="7">
        <v>35.101161290322587</v>
      </c>
      <c r="CE21" s="4">
        <v>35.672129032258063</v>
      </c>
      <c r="CF21" s="4">
        <v>36.271645161290323</v>
      </c>
      <c r="CG21" s="4">
        <v>36.901137096774193</v>
      </c>
      <c r="CH21" s="4">
        <v>37.562103629032265</v>
      </c>
      <c r="CI21" s="5">
        <v>38.25611848790323</v>
      </c>
      <c r="CJ21" s="7">
        <v>35.101161290322587</v>
      </c>
      <c r="CK21" s="4">
        <v>35.672129032258063</v>
      </c>
      <c r="CL21" s="4">
        <v>36.271645161290323</v>
      </c>
      <c r="CM21" s="4">
        <v>36.901137096774193</v>
      </c>
      <c r="CN21" s="4">
        <v>37.562103629032265</v>
      </c>
      <c r="CO21" s="5">
        <v>38.25611848790323</v>
      </c>
      <c r="CP21" s="7">
        <v>35.101161290322587</v>
      </c>
      <c r="CQ21" s="4">
        <v>35.672129032258063</v>
      </c>
      <c r="CR21" s="4">
        <v>36.271645161290323</v>
      </c>
      <c r="CS21" s="4">
        <v>36.901137096774193</v>
      </c>
      <c r="CT21" s="4">
        <v>37.562103629032265</v>
      </c>
      <c r="CU21" s="5">
        <v>38.25611848790323</v>
      </c>
      <c r="CV21" s="7">
        <v>26.538352941176473</v>
      </c>
      <c r="CW21" s="4">
        <v>26.954823529411762</v>
      </c>
      <c r="CX21" s="4">
        <v>27.392117647058825</v>
      </c>
      <c r="CY21" s="4">
        <v>27.851276470588235</v>
      </c>
      <c r="CZ21" s="4">
        <v>28.333393235294121</v>
      </c>
      <c r="DA21" s="5">
        <v>28.839615838235297</v>
      </c>
      <c r="DB21" s="7">
        <v>27.808941176470586</v>
      </c>
      <c r="DC21" s="4">
        <v>28.288941176470587</v>
      </c>
      <c r="DD21" s="4">
        <v>28.792941176470585</v>
      </c>
      <c r="DE21" s="4">
        <v>30.380541176470587</v>
      </c>
      <c r="DF21" s="4">
        <v>32.20628117647059</v>
      </c>
      <c r="DG21" s="5">
        <v>34.30588217647059</v>
      </c>
      <c r="DH21" s="7">
        <v>27.808941176470586</v>
      </c>
      <c r="DI21" s="4">
        <v>28.288941176470587</v>
      </c>
      <c r="DJ21" s="4">
        <v>28.792941176470585</v>
      </c>
      <c r="DK21" s="4">
        <v>30.380541176470587</v>
      </c>
      <c r="DL21" s="4">
        <v>32.20628117647059</v>
      </c>
      <c r="DM21" s="6">
        <v>34.30588217647059</v>
      </c>
      <c r="DN21" s="8">
        <v>33.092639999999996</v>
      </c>
      <c r="DO21" s="4">
        <v>34.229618823529414</v>
      </c>
      <c r="DP21" s="4">
        <v>34.839458823529405</v>
      </c>
      <c r="DQ21" s="4">
        <v>36.760454823529408</v>
      </c>
      <c r="DR21" s="6">
        <v>38.3254746</v>
      </c>
      <c r="DS21" s="9">
        <v>40.137882146470588</v>
      </c>
      <c r="DT21" s="8">
        <v>39.711167999999994</v>
      </c>
      <c r="DU21" s="4">
        <v>41.075542588235294</v>
      </c>
      <c r="DV21" s="4">
        <v>41.807350588235288</v>
      </c>
      <c r="DW21" s="4">
        <v>43.009732143529412</v>
      </c>
      <c r="DX21" s="6">
        <v>45.607314774000002</v>
      </c>
      <c r="DY21" s="9">
        <v>47.764079754299999</v>
      </c>
      <c r="DZ21" s="8">
        <v>39.711167999999994</v>
      </c>
      <c r="EA21" s="4">
        <v>41.075542588235294</v>
      </c>
      <c r="EB21" s="4">
        <v>41.807350588235288</v>
      </c>
      <c r="EC21" s="4">
        <v>43.009732143529412</v>
      </c>
      <c r="ED21" s="6">
        <v>45.607314774000002</v>
      </c>
      <c r="EE21" s="9">
        <v>47.764079754299999</v>
      </c>
      <c r="EF21" s="7">
        <v>27.808941176470586</v>
      </c>
      <c r="EG21" s="4">
        <v>28.288941176470587</v>
      </c>
      <c r="EH21" s="4">
        <v>28.792941176470585</v>
      </c>
      <c r="EI21" s="4">
        <v>30.380541176470587</v>
      </c>
      <c r="EJ21" s="4">
        <v>32.20628117647059</v>
      </c>
      <c r="EK21" s="5">
        <v>34.30588217647059</v>
      </c>
      <c r="EL21" s="14">
        <v>35.101161290322587</v>
      </c>
      <c r="EM21" s="7">
        <v>35.294709677419355</v>
      </c>
      <c r="EN21" s="4">
        <v>35.875354838709676</v>
      </c>
      <c r="EO21" s="4">
        <v>36.4850322580645</v>
      </c>
      <c r="EP21" s="4">
        <v>37.765354838709683</v>
      </c>
      <c r="EQ21" s="4">
        <v>39.17370967741936</v>
      </c>
      <c r="ER21" s="5">
        <v>40.72290000000001</v>
      </c>
      <c r="ES21" s="7">
        <v>35.294709677419355</v>
      </c>
      <c r="ET21" s="4">
        <v>35.875354838709676</v>
      </c>
      <c r="EU21" s="4">
        <v>36.485032258064521</v>
      </c>
      <c r="EV21" s="4">
        <v>37.765354838709683</v>
      </c>
      <c r="EW21" s="4">
        <v>39.17370967741936</v>
      </c>
      <c r="EX21" s="5">
        <v>40.72290000000001</v>
      </c>
      <c r="EY21" s="7">
        <v>36.843096774193548</v>
      </c>
      <c r="EZ21" s="4">
        <v>37.501161290322578</v>
      </c>
      <c r="FA21" s="4">
        <v>38.192129032258066</v>
      </c>
      <c r="FB21" s="4">
        <v>40.368677419354839</v>
      </c>
      <c r="FC21" s="4">
        <v>42.871708064516135</v>
      </c>
      <c r="FD21" s="5">
        <v>45.750193306451621</v>
      </c>
    </row>
    <row r="22" spans="2:160" x14ac:dyDescent="0.3">
      <c r="B22" s="2">
        <v>8.0009999999999994</v>
      </c>
      <c r="C22" s="3">
        <v>9</v>
      </c>
      <c r="D22" s="8">
        <f>SUM(D21+25%)</f>
        <v>35.157612903225811</v>
      </c>
      <c r="E22" s="7">
        <f>SUM(E21+25%)</f>
        <v>35.71890322580645</v>
      </c>
      <c r="F22" s="7">
        <f t="shared" ref="F22:K22" si="0">SUM(F21+25%)</f>
        <v>36.308258064516124</v>
      </c>
      <c r="G22" s="7">
        <f t="shared" si="0"/>
        <v>36.927080645161283</v>
      </c>
      <c r="H22" s="7">
        <f t="shared" si="0"/>
        <v>37.576844354838713</v>
      </c>
      <c r="I22" s="36">
        <f t="shared" si="0"/>
        <v>38.259096249999999</v>
      </c>
      <c r="J22" s="8">
        <f t="shared" si="0"/>
        <v>35.351161290322587</v>
      </c>
      <c r="K22" s="7">
        <f t="shared" si="0"/>
        <v>35.922129032258063</v>
      </c>
      <c r="L22" s="7">
        <f t="shared" ref="L22" si="1">SUM(L21+25%)</f>
        <v>36.521645161290323</v>
      </c>
      <c r="M22" s="7">
        <f t="shared" ref="M22" si="2">SUM(M21+25%)</f>
        <v>37.151137096774193</v>
      </c>
      <c r="N22" s="7">
        <f t="shared" ref="N22" si="3">SUM(N21+25%)</f>
        <v>37.812103629032265</v>
      </c>
      <c r="O22" s="36">
        <f t="shared" ref="O22:Q22" si="4">SUM(O21+25%)</f>
        <v>38.50611848790323</v>
      </c>
      <c r="P22" s="8">
        <f t="shared" si="4"/>
        <v>35.544709677419355</v>
      </c>
      <c r="Q22" s="7">
        <f t="shared" si="4"/>
        <v>36.125354838709676</v>
      </c>
      <c r="R22" s="7">
        <f t="shared" ref="R22" si="5">SUM(R21+25%)</f>
        <v>36.735032258064521</v>
      </c>
      <c r="S22" s="7">
        <f t="shared" ref="S22" si="6">SUM(S21+25%)</f>
        <v>37.375193548387102</v>
      </c>
      <c r="T22" s="7">
        <f t="shared" ref="T22" si="7">SUM(T21+25%)</f>
        <v>38.047362903225817</v>
      </c>
      <c r="U22" s="36">
        <f t="shared" ref="U22:W22" si="8">SUM(U21+25%)</f>
        <v>38.75314072580646</v>
      </c>
      <c r="V22" s="8">
        <f t="shared" si="8"/>
        <v>35.351161290322587</v>
      </c>
      <c r="W22" s="7">
        <f t="shared" si="8"/>
        <v>35.922129032258063</v>
      </c>
      <c r="X22" s="7">
        <f t="shared" ref="X22" si="9">SUM(X21+25%)</f>
        <v>36.521645161290323</v>
      </c>
      <c r="Y22" s="7">
        <f t="shared" ref="Y22" si="10">SUM(Y21+25%)</f>
        <v>37.151137096774193</v>
      </c>
      <c r="Z22" s="7">
        <f t="shared" ref="Z22" si="11">SUM(Z21+25%)</f>
        <v>37.812103629032265</v>
      </c>
      <c r="AA22" s="36">
        <f t="shared" ref="AA22:AC22" si="12">SUM(AA21+25%)</f>
        <v>38.50611848790323</v>
      </c>
      <c r="AB22" s="8">
        <f t="shared" si="12"/>
        <v>35.544709677419355</v>
      </c>
      <c r="AC22" s="7">
        <f t="shared" si="12"/>
        <v>36.125354838709676</v>
      </c>
      <c r="AD22" s="7">
        <f t="shared" ref="AD22" si="13">SUM(AD21+25%)</f>
        <v>36.735032258064521</v>
      </c>
      <c r="AE22" s="7">
        <f t="shared" ref="AE22" si="14">SUM(AE21+25%)</f>
        <v>37.375193548387102</v>
      </c>
      <c r="AF22" s="7">
        <f t="shared" ref="AF22" si="15">SUM(AF21+25%)</f>
        <v>38.786749193548395</v>
      </c>
      <c r="AG22" s="36">
        <f t="shared" ref="AG22:AI22" si="16">SUM(AG21+25%)</f>
        <v>39.529496330645166</v>
      </c>
      <c r="AH22" s="8">
        <f t="shared" si="16"/>
        <v>35.544709677419355</v>
      </c>
      <c r="AI22" s="7">
        <f t="shared" si="16"/>
        <v>36.125354838709676</v>
      </c>
      <c r="AJ22" s="7">
        <f t="shared" ref="AJ22" si="17">SUM(AJ21+25%)</f>
        <v>36.735032258064521</v>
      </c>
      <c r="AK22" s="7">
        <f t="shared" ref="AK22" si="18">SUM(AK21+25%)</f>
        <v>37.375193548387102</v>
      </c>
      <c r="AL22" s="7">
        <f t="shared" ref="AL22" si="19">SUM(AL21+25%)</f>
        <v>38.047362903225817</v>
      </c>
      <c r="AM22" s="36">
        <f t="shared" ref="AM22:AO22" si="20">SUM(AM21+25%)</f>
        <v>38.75314072580646</v>
      </c>
      <c r="AN22" s="8">
        <f t="shared" si="20"/>
        <v>35.544709677419355</v>
      </c>
      <c r="AO22" s="7">
        <f t="shared" si="20"/>
        <v>36.125354838709676</v>
      </c>
      <c r="AP22" s="7">
        <f t="shared" ref="AP22" si="21">SUM(AP21+25%)</f>
        <v>36.735032258064521</v>
      </c>
      <c r="AQ22" s="7">
        <f t="shared" ref="AQ22" si="22">SUM(AQ21+25%)</f>
        <v>37.375193548387102</v>
      </c>
      <c r="AR22" s="7">
        <f t="shared" ref="AR22" si="23">SUM(AR21+25%)</f>
        <v>38.047362903225817</v>
      </c>
      <c r="AS22" s="36">
        <f t="shared" ref="AS22:AU22" si="24">SUM(AS21+25%)</f>
        <v>38.75314072580646</v>
      </c>
      <c r="AT22" s="8">
        <f t="shared" si="24"/>
        <v>35.351161290322587</v>
      </c>
      <c r="AU22" s="7">
        <f t="shared" si="24"/>
        <v>35.922129032258063</v>
      </c>
      <c r="AV22" s="7">
        <f t="shared" ref="AV22" si="25">SUM(AV21+25%)</f>
        <v>36.521645161290323</v>
      </c>
      <c r="AW22" s="7">
        <f t="shared" ref="AW22" si="26">SUM(AW21+25%)</f>
        <v>37.151137096774193</v>
      </c>
      <c r="AX22" s="7">
        <f t="shared" ref="AX22" si="27">SUM(AX21+25%)</f>
        <v>37.812103629032265</v>
      </c>
      <c r="AY22" s="36">
        <f t="shared" ref="AY22:BA22" si="28">SUM(AY21+25%)</f>
        <v>38.50611848790323</v>
      </c>
      <c r="AZ22" s="8">
        <f t="shared" si="28"/>
        <v>35.351161290322587</v>
      </c>
      <c r="BA22" s="7">
        <f t="shared" si="28"/>
        <v>35.922129032258063</v>
      </c>
      <c r="BB22" s="7">
        <f t="shared" ref="BB22" si="29">SUM(BB21+25%)</f>
        <v>36.521645161290323</v>
      </c>
      <c r="BC22" s="7">
        <f t="shared" ref="BC22" si="30">SUM(BC21+25%)</f>
        <v>37.151137096774193</v>
      </c>
      <c r="BD22" s="7">
        <f t="shared" ref="BD22" si="31">SUM(BD21+25%)</f>
        <v>37.812103629032265</v>
      </c>
      <c r="BE22" s="36">
        <f t="shared" ref="BE22:BG22" si="32">SUM(BE21+25%)</f>
        <v>38.50611848790323</v>
      </c>
      <c r="BF22" s="8">
        <f t="shared" si="32"/>
        <v>35.351161290322587</v>
      </c>
      <c r="BG22" s="7">
        <f t="shared" si="32"/>
        <v>35.922129032258063</v>
      </c>
      <c r="BH22" s="7">
        <f t="shared" ref="BH22" si="33">SUM(BH21+25%)</f>
        <v>36.521645161290323</v>
      </c>
      <c r="BI22" s="7">
        <f t="shared" ref="BI22" si="34">SUM(BI21+25%)</f>
        <v>37.151137096774193</v>
      </c>
      <c r="BJ22" s="7">
        <f t="shared" ref="BJ22" si="35">SUM(BJ21+25%)</f>
        <v>37.812103629032265</v>
      </c>
      <c r="BK22" s="36">
        <f t="shared" ref="BK22:BM22" si="36">SUM(BK21+25%)</f>
        <v>38.50611848790323</v>
      </c>
      <c r="BL22" s="8">
        <f t="shared" si="36"/>
        <v>35.351161290322587</v>
      </c>
      <c r="BM22" s="7">
        <f t="shared" si="36"/>
        <v>35.922129032258063</v>
      </c>
      <c r="BN22" s="7">
        <f t="shared" ref="BN22" si="37">SUM(BN21+25%)</f>
        <v>36.521645161290323</v>
      </c>
      <c r="BO22" s="7">
        <f t="shared" ref="BO22" si="38">SUM(BO21+25%)</f>
        <v>37.151137096774193</v>
      </c>
      <c r="BP22" s="7">
        <f t="shared" ref="BP22" si="39">SUM(BP21+25%)</f>
        <v>37.812103629032265</v>
      </c>
      <c r="BQ22" s="36">
        <f t="shared" ref="BQ22:BS22" si="40">SUM(BQ21+25%)</f>
        <v>38.50611848790323</v>
      </c>
      <c r="BR22" s="8">
        <f t="shared" si="40"/>
        <v>35.351161290322587</v>
      </c>
      <c r="BS22" s="7">
        <f t="shared" si="40"/>
        <v>35.922129032258063</v>
      </c>
      <c r="BT22" s="7">
        <f t="shared" ref="BT22" si="41">SUM(BT21+25%)</f>
        <v>36.521645161290323</v>
      </c>
      <c r="BU22" s="7">
        <f t="shared" ref="BU22" si="42">SUM(BU21+25%)</f>
        <v>37.151137096774193</v>
      </c>
      <c r="BV22" s="7">
        <f t="shared" ref="BV22" si="43">SUM(BV21+25%)</f>
        <v>37.812103629032265</v>
      </c>
      <c r="BW22" s="36">
        <f t="shared" ref="BW22:BY22" si="44">SUM(BW21+25%)</f>
        <v>38.50611848790323</v>
      </c>
      <c r="BX22" s="8">
        <f t="shared" si="44"/>
        <v>35.351161290322587</v>
      </c>
      <c r="BY22" s="7">
        <f t="shared" si="44"/>
        <v>35.922129032258063</v>
      </c>
      <c r="BZ22" s="7">
        <f t="shared" ref="BZ22" si="45">SUM(BZ21+25%)</f>
        <v>36.521645161290323</v>
      </c>
      <c r="CA22" s="7">
        <f t="shared" ref="CA22" si="46">SUM(CA21+25%)</f>
        <v>37.151137096774193</v>
      </c>
      <c r="CB22" s="7">
        <f t="shared" ref="CB22" si="47">SUM(CB21+25%)</f>
        <v>37.812103629032265</v>
      </c>
      <c r="CC22" s="36">
        <f t="shared" ref="CC22:CE22" si="48">SUM(CC21+25%)</f>
        <v>38.50611848790323</v>
      </c>
      <c r="CD22" s="8">
        <f t="shared" si="48"/>
        <v>35.351161290322587</v>
      </c>
      <c r="CE22" s="7">
        <f t="shared" si="48"/>
        <v>35.922129032258063</v>
      </c>
      <c r="CF22" s="7">
        <f t="shared" ref="CF22" si="49">SUM(CF21+25%)</f>
        <v>36.521645161290323</v>
      </c>
      <c r="CG22" s="7">
        <f t="shared" ref="CG22" si="50">SUM(CG21+25%)</f>
        <v>37.151137096774193</v>
      </c>
      <c r="CH22" s="7">
        <f t="shared" ref="CH22" si="51">SUM(CH21+25%)</f>
        <v>37.812103629032265</v>
      </c>
      <c r="CI22" s="36">
        <f t="shared" ref="CI22:CK22" si="52">SUM(CI21+25%)</f>
        <v>38.50611848790323</v>
      </c>
      <c r="CJ22" s="8">
        <f t="shared" si="52"/>
        <v>35.351161290322587</v>
      </c>
      <c r="CK22" s="7">
        <f t="shared" si="52"/>
        <v>35.922129032258063</v>
      </c>
      <c r="CL22" s="7">
        <f t="shared" ref="CL22" si="53">SUM(CL21+25%)</f>
        <v>36.521645161290323</v>
      </c>
      <c r="CM22" s="7">
        <f t="shared" ref="CM22" si="54">SUM(CM21+25%)</f>
        <v>37.151137096774193</v>
      </c>
      <c r="CN22" s="7">
        <f t="shared" ref="CN22" si="55">SUM(CN21+25%)</f>
        <v>37.812103629032265</v>
      </c>
      <c r="CO22" s="36">
        <f t="shared" ref="CO22:CQ22" si="56">SUM(CO21+25%)</f>
        <v>38.50611848790323</v>
      </c>
      <c r="CP22" s="8">
        <f t="shared" si="56"/>
        <v>35.351161290322587</v>
      </c>
      <c r="CQ22" s="7">
        <f t="shared" si="56"/>
        <v>35.922129032258063</v>
      </c>
      <c r="CR22" s="7">
        <f t="shared" ref="CR22" si="57">SUM(CR21+25%)</f>
        <v>36.521645161290323</v>
      </c>
      <c r="CS22" s="7">
        <f t="shared" ref="CS22" si="58">SUM(CS21+25%)</f>
        <v>37.151137096774193</v>
      </c>
      <c r="CT22" s="7">
        <f t="shared" ref="CT22" si="59">SUM(CT21+25%)</f>
        <v>37.812103629032265</v>
      </c>
      <c r="CU22" s="36">
        <f t="shared" ref="CU22:CW22" si="60">SUM(CU21+25%)</f>
        <v>38.50611848790323</v>
      </c>
      <c r="CV22" s="8">
        <f t="shared" si="60"/>
        <v>26.788352941176473</v>
      </c>
      <c r="CW22" s="7">
        <f t="shared" si="60"/>
        <v>27.204823529411762</v>
      </c>
      <c r="CX22" s="7">
        <f t="shared" ref="CX22" si="61">SUM(CX21+25%)</f>
        <v>27.642117647058825</v>
      </c>
      <c r="CY22" s="7">
        <f t="shared" ref="CY22" si="62">SUM(CY21+25%)</f>
        <v>28.101276470588235</v>
      </c>
      <c r="CZ22" s="7">
        <f t="shared" ref="CZ22" si="63">SUM(CZ21+25%)</f>
        <v>28.583393235294121</v>
      </c>
      <c r="DA22" s="36">
        <f t="shared" ref="DA22:DC22" si="64">SUM(DA21+25%)</f>
        <v>29.089615838235297</v>
      </c>
      <c r="DB22" s="8">
        <f t="shared" si="64"/>
        <v>28.058941176470586</v>
      </c>
      <c r="DC22" s="7">
        <f t="shared" si="64"/>
        <v>28.538941176470587</v>
      </c>
      <c r="DD22" s="7">
        <f t="shared" ref="DD22" si="65">SUM(DD21+25%)</f>
        <v>29.042941176470585</v>
      </c>
      <c r="DE22" s="7">
        <f t="shared" ref="DE22" si="66">SUM(DE21+25%)</f>
        <v>30.630541176470587</v>
      </c>
      <c r="DF22" s="7">
        <f t="shared" ref="DF22" si="67">SUM(DF21+25%)</f>
        <v>32.45628117647059</v>
      </c>
      <c r="DG22" s="36">
        <f t="shared" ref="DG22:DI22" si="68">SUM(DG21+25%)</f>
        <v>34.55588217647059</v>
      </c>
      <c r="DH22" s="8">
        <f t="shared" si="68"/>
        <v>28.058941176470586</v>
      </c>
      <c r="DI22" s="7">
        <f t="shared" si="68"/>
        <v>28.538941176470587</v>
      </c>
      <c r="DJ22" s="7">
        <f t="shared" ref="DJ22" si="69">SUM(DJ21+25%)</f>
        <v>29.042941176470585</v>
      </c>
      <c r="DK22" s="7">
        <f t="shared" ref="DK22" si="70">SUM(DK21+25%)</f>
        <v>30.630541176470587</v>
      </c>
      <c r="DL22" s="7">
        <f t="shared" ref="DL22" si="71">SUM(DL21+25%)</f>
        <v>32.45628117647059</v>
      </c>
      <c r="DM22" s="36">
        <f t="shared" ref="DM22:DO22" si="72">SUM(DM21+25%)</f>
        <v>34.55588217647059</v>
      </c>
      <c r="DN22" s="8">
        <f t="shared" si="72"/>
        <v>33.342639999999996</v>
      </c>
      <c r="DO22" s="7">
        <f t="shared" si="72"/>
        <v>34.479618823529414</v>
      </c>
      <c r="DP22" s="7">
        <f t="shared" ref="DP22" si="73">SUM(DP21+25%)</f>
        <v>35.089458823529405</v>
      </c>
      <c r="DQ22" s="7">
        <f t="shared" ref="DQ22" si="74">SUM(DQ21+25%)</f>
        <v>37.010454823529408</v>
      </c>
      <c r="DR22" s="7">
        <f t="shared" ref="DR22" si="75">SUM(DR21+25%)</f>
        <v>38.5754746</v>
      </c>
      <c r="DS22" s="36">
        <f t="shared" ref="DS22:DU22" si="76">SUM(DS21+25%)</f>
        <v>40.387882146470588</v>
      </c>
      <c r="DT22" s="8">
        <f t="shared" si="76"/>
        <v>39.961167999999994</v>
      </c>
      <c r="DU22" s="7">
        <f t="shared" si="76"/>
        <v>41.325542588235294</v>
      </c>
      <c r="DV22" s="7">
        <f t="shared" ref="DV22" si="77">SUM(DV21+25%)</f>
        <v>42.057350588235288</v>
      </c>
      <c r="DW22" s="7">
        <f t="shared" ref="DW22" si="78">SUM(DW21+25%)</f>
        <v>43.259732143529412</v>
      </c>
      <c r="DX22" s="7">
        <f t="shared" ref="DX22" si="79">SUM(DX21+25%)</f>
        <v>45.857314774000002</v>
      </c>
      <c r="DY22" s="36">
        <f t="shared" ref="DY22:EA22" si="80">SUM(DY21+25%)</f>
        <v>48.014079754299999</v>
      </c>
      <c r="DZ22" s="8">
        <f t="shared" si="80"/>
        <v>39.961167999999994</v>
      </c>
      <c r="EA22" s="7">
        <f t="shared" si="80"/>
        <v>41.325542588235294</v>
      </c>
      <c r="EB22" s="7">
        <f t="shared" ref="EB22" si="81">SUM(EB21+25%)</f>
        <v>42.057350588235288</v>
      </c>
      <c r="EC22" s="7">
        <f t="shared" ref="EC22" si="82">SUM(EC21+25%)</f>
        <v>43.259732143529412</v>
      </c>
      <c r="ED22" s="7">
        <f t="shared" ref="ED22" si="83">SUM(ED21+25%)</f>
        <v>45.857314774000002</v>
      </c>
      <c r="EE22" s="36">
        <f t="shared" ref="EE22:EG22" si="84">SUM(EE21+25%)</f>
        <v>48.014079754299999</v>
      </c>
      <c r="EF22" s="8">
        <f t="shared" si="84"/>
        <v>28.058941176470586</v>
      </c>
      <c r="EG22" s="7">
        <f t="shared" si="84"/>
        <v>28.538941176470587</v>
      </c>
      <c r="EH22" s="7">
        <f t="shared" ref="EH22" si="85">SUM(EH21+25%)</f>
        <v>29.042941176470585</v>
      </c>
      <c r="EI22" s="7">
        <f t="shared" ref="EI22" si="86">SUM(EI21+25%)</f>
        <v>30.630541176470587</v>
      </c>
      <c r="EJ22" s="7">
        <f t="shared" ref="EJ22" si="87">SUM(EJ21+25%)</f>
        <v>32.45628117647059</v>
      </c>
      <c r="EK22" s="36">
        <f t="shared" ref="EK22:EL22" si="88">SUM(EK21+25%)</f>
        <v>34.55588217647059</v>
      </c>
      <c r="EL22" s="36">
        <f t="shared" si="88"/>
        <v>35.351161290322587</v>
      </c>
      <c r="EM22" s="8">
        <f t="shared" ref="EM22" si="89">SUM(EM21+25%)</f>
        <v>35.544709677419355</v>
      </c>
      <c r="EN22" s="7">
        <f t="shared" ref="EN22" si="90">SUM(EN21+25%)</f>
        <v>36.125354838709676</v>
      </c>
      <c r="EO22" s="7">
        <f t="shared" ref="EO22" si="91">SUM(EO21+25%)</f>
        <v>36.7350322580645</v>
      </c>
      <c r="EP22" s="7">
        <f t="shared" ref="EP22" si="92">SUM(EP21+25%)</f>
        <v>38.015354838709683</v>
      </c>
      <c r="EQ22" s="7">
        <f t="shared" ref="EQ22" si="93">SUM(EQ21+25%)</f>
        <v>39.42370967741936</v>
      </c>
      <c r="ER22" s="36">
        <f t="shared" ref="ER22" si="94">SUM(ER21+25%)</f>
        <v>40.97290000000001</v>
      </c>
      <c r="ES22" s="8">
        <f t="shared" ref="ES22" si="95">SUM(ES21+25%)</f>
        <v>35.544709677419355</v>
      </c>
      <c r="ET22" s="7">
        <f t="shared" ref="ET22" si="96">SUM(ET21+25%)</f>
        <v>36.125354838709676</v>
      </c>
      <c r="EU22" s="7">
        <f t="shared" ref="EU22" si="97">SUM(EU21+25%)</f>
        <v>36.735032258064521</v>
      </c>
      <c r="EV22" s="7">
        <f t="shared" ref="EV22" si="98">SUM(EV21+25%)</f>
        <v>38.015354838709683</v>
      </c>
      <c r="EW22" s="7">
        <f t="shared" ref="EW22" si="99">SUM(EW21+25%)</f>
        <v>39.42370967741936</v>
      </c>
      <c r="EX22" s="36">
        <f t="shared" ref="EX22" si="100">SUM(EX21+25%)</f>
        <v>40.97290000000001</v>
      </c>
      <c r="EY22" s="8">
        <f t="shared" ref="EY22" si="101">SUM(EY21+25%)</f>
        <v>37.093096774193548</v>
      </c>
      <c r="EZ22" s="7">
        <f t="shared" ref="EZ22" si="102">SUM(EZ21+25%)</f>
        <v>37.751161290322578</v>
      </c>
      <c r="FA22" s="7">
        <f t="shared" ref="FA22" si="103">SUM(FA21+25%)</f>
        <v>38.442129032258066</v>
      </c>
      <c r="FB22" s="7">
        <f t="shared" ref="FB22" si="104">SUM(FB21+25%)</f>
        <v>40.618677419354839</v>
      </c>
      <c r="FC22" s="7">
        <f t="shared" ref="FC22" si="105">SUM(FC21+25%)</f>
        <v>43.121708064516135</v>
      </c>
      <c r="FD22" s="36">
        <f t="shared" ref="FD22" si="106">SUM(FD21+25%)</f>
        <v>46.000193306451621</v>
      </c>
    </row>
    <row r="23" spans="2:160" x14ac:dyDescent="0.3">
      <c r="B23" s="2">
        <v>9.0009999999999994</v>
      </c>
      <c r="C23" s="3">
        <v>10</v>
      </c>
      <c r="D23" s="8">
        <f>SUM(D22+55%)</f>
        <v>35.707612903225808</v>
      </c>
      <c r="E23" s="7">
        <f>SUM(E22+55%)</f>
        <v>36.268903225806447</v>
      </c>
      <c r="F23" s="7">
        <f t="shared" ref="F23:K23" si="107">SUM(F22+55%)</f>
        <v>36.858258064516122</v>
      </c>
      <c r="G23" s="7">
        <f t="shared" si="107"/>
        <v>37.47708064516128</v>
      </c>
      <c r="H23" s="7">
        <f t="shared" si="107"/>
        <v>38.12684435483871</v>
      </c>
      <c r="I23" s="36">
        <f t="shared" si="107"/>
        <v>38.809096249999996</v>
      </c>
      <c r="J23" s="8">
        <f t="shared" si="107"/>
        <v>35.901161290322584</v>
      </c>
      <c r="K23" s="7">
        <f t="shared" si="107"/>
        <v>36.47212903225806</v>
      </c>
      <c r="L23" s="7">
        <f t="shared" ref="L23" si="108">SUM(L22+55%)</f>
        <v>37.07164516129032</v>
      </c>
      <c r="M23" s="7">
        <f t="shared" ref="M23" si="109">SUM(M22+55%)</f>
        <v>37.70113709677419</v>
      </c>
      <c r="N23" s="7">
        <f t="shared" ref="N23" si="110">SUM(N22+55%)</f>
        <v>38.362103629032262</v>
      </c>
      <c r="O23" s="36">
        <f t="shared" ref="O23:Q23" si="111">SUM(O22+55%)</f>
        <v>39.056118487903227</v>
      </c>
      <c r="P23" s="8">
        <f t="shared" si="111"/>
        <v>36.094709677419353</v>
      </c>
      <c r="Q23" s="7">
        <f t="shared" si="111"/>
        <v>36.675354838709673</v>
      </c>
      <c r="R23" s="7">
        <f t="shared" ref="R23" si="112">SUM(R22+55%)</f>
        <v>37.285032258064518</v>
      </c>
      <c r="S23" s="7">
        <f t="shared" ref="S23" si="113">SUM(S22+55%)</f>
        <v>37.925193548387099</v>
      </c>
      <c r="T23" s="7">
        <f t="shared" ref="T23" si="114">SUM(T22+55%)</f>
        <v>38.597362903225815</v>
      </c>
      <c r="U23" s="36">
        <f t="shared" ref="U23:W23" si="115">SUM(U22+55%)</f>
        <v>39.303140725806458</v>
      </c>
      <c r="V23" s="8">
        <f t="shared" si="115"/>
        <v>35.901161290322584</v>
      </c>
      <c r="W23" s="7">
        <f t="shared" si="115"/>
        <v>36.47212903225806</v>
      </c>
      <c r="X23" s="7">
        <f t="shared" ref="X23" si="116">SUM(X22+55%)</f>
        <v>37.07164516129032</v>
      </c>
      <c r="Y23" s="7">
        <f t="shared" ref="Y23" si="117">SUM(Y22+55%)</f>
        <v>37.70113709677419</v>
      </c>
      <c r="Z23" s="7">
        <f t="shared" ref="Z23" si="118">SUM(Z22+55%)</f>
        <v>38.362103629032262</v>
      </c>
      <c r="AA23" s="36">
        <f t="shared" ref="AA23:AC23" si="119">SUM(AA22+55%)</f>
        <v>39.056118487903227</v>
      </c>
      <c r="AB23" s="8">
        <f t="shared" si="119"/>
        <v>36.094709677419353</v>
      </c>
      <c r="AC23" s="7">
        <f t="shared" si="119"/>
        <v>36.675354838709673</v>
      </c>
      <c r="AD23" s="7">
        <f t="shared" ref="AD23" si="120">SUM(AD22+55%)</f>
        <v>37.285032258064518</v>
      </c>
      <c r="AE23" s="7">
        <f t="shared" ref="AE23" si="121">SUM(AE22+55%)</f>
        <v>37.925193548387099</v>
      </c>
      <c r="AF23" s="7">
        <f t="shared" ref="AF23" si="122">SUM(AF22+55%)</f>
        <v>39.336749193548393</v>
      </c>
      <c r="AG23" s="36">
        <f t="shared" ref="AG23:AI23" si="123">SUM(AG22+55%)</f>
        <v>40.079496330645163</v>
      </c>
      <c r="AH23" s="8">
        <f t="shared" si="123"/>
        <v>36.094709677419353</v>
      </c>
      <c r="AI23" s="7">
        <f t="shared" si="123"/>
        <v>36.675354838709673</v>
      </c>
      <c r="AJ23" s="7">
        <f t="shared" ref="AJ23" si="124">SUM(AJ22+55%)</f>
        <v>37.285032258064518</v>
      </c>
      <c r="AK23" s="7">
        <f t="shared" ref="AK23" si="125">SUM(AK22+55%)</f>
        <v>37.925193548387099</v>
      </c>
      <c r="AL23" s="7">
        <f t="shared" ref="AL23" si="126">SUM(AL22+55%)</f>
        <v>38.597362903225815</v>
      </c>
      <c r="AM23" s="36">
        <f t="shared" ref="AM23:AO23" si="127">SUM(AM22+55%)</f>
        <v>39.303140725806458</v>
      </c>
      <c r="AN23" s="8">
        <f t="shared" si="127"/>
        <v>36.094709677419353</v>
      </c>
      <c r="AO23" s="7">
        <f t="shared" si="127"/>
        <v>36.675354838709673</v>
      </c>
      <c r="AP23" s="7">
        <f t="shared" ref="AP23" si="128">SUM(AP22+55%)</f>
        <v>37.285032258064518</v>
      </c>
      <c r="AQ23" s="7">
        <f t="shared" ref="AQ23" si="129">SUM(AQ22+55%)</f>
        <v>37.925193548387099</v>
      </c>
      <c r="AR23" s="7">
        <f t="shared" ref="AR23" si="130">SUM(AR22+55%)</f>
        <v>38.597362903225815</v>
      </c>
      <c r="AS23" s="36">
        <f t="shared" ref="AS23:AU23" si="131">SUM(AS22+55%)</f>
        <v>39.303140725806458</v>
      </c>
      <c r="AT23" s="8">
        <f t="shared" si="131"/>
        <v>35.901161290322584</v>
      </c>
      <c r="AU23" s="7">
        <f t="shared" si="131"/>
        <v>36.47212903225806</v>
      </c>
      <c r="AV23" s="7">
        <f t="shared" ref="AV23" si="132">SUM(AV22+55%)</f>
        <v>37.07164516129032</v>
      </c>
      <c r="AW23" s="7">
        <f t="shared" ref="AW23" si="133">SUM(AW22+55%)</f>
        <v>37.70113709677419</v>
      </c>
      <c r="AX23" s="7">
        <f t="shared" ref="AX23" si="134">SUM(AX22+55%)</f>
        <v>38.362103629032262</v>
      </c>
      <c r="AY23" s="36">
        <f t="shared" ref="AY23:BA23" si="135">SUM(AY22+55%)</f>
        <v>39.056118487903227</v>
      </c>
      <c r="AZ23" s="8">
        <f t="shared" si="135"/>
        <v>35.901161290322584</v>
      </c>
      <c r="BA23" s="7">
        <f t="shared" si="135"/>
        <v>36.47212903225806</v>
      </c>
      <c r="BB23" s="7">
        <f t="shared" ref="BB23" si="136">SUM(BB22+55%)</f>
        <v>37.07164516129032</v>
      </c>
      <c r="BC23" s="7">
        <f t="shared" ref="BC23" si="137">SUM(BC22+55%)</f>
        <v>37.70113709677419</v>
      </c>
      <c r="BD23" s="7">
        <f t="shared" ref="BD23" si="138">SUM(BD22+55%)</f>
        <v>38.362103629032262</v>
      </c>
      <c r="BE23" s="36">
        <f t="shared" ref="BE23:BG23" si="139">SUM(BE22+55%)</f>
        <v>39.056118487903227</v>
      </c>
      <c r="BF23" s="8">
        <f t="shared" si="139"/>
        <v>35.901161290322584</v>
      </c>
      <c r="BG23" s="7">
        <f t="shared" si="139"/>
        <v>36.47212903225806</v>
      </c>
      <c r="BH23" s="7">
        <f t="shared" ref="BH23" si="140">SUM(BH22+55%)</f>
        <v>37.07164516129032</v>
      </c>
      <c r="BI23" s="7">
        <f t="shared" ref="BI23" si="141">SUM(BI22+55%)</f>
        <v>37.70113709677419</v>
      </c>
      <c r="BJ23" s="7">
        <f t="shared" ref="BJ23" si="142">SUM(BJ22+55%)</f>
        <v>38.362103629032262</v>
      </c>
      <c r="BK23" s="36">
        <f t="shared" ref="BK23:BM23" si="143">SUM(BK22+55%)</f>
        <v>39.056118487903227</v>
      </c>
      <c r="BL23" s="8">
        <f t="shared" si="143"/>
        <v>35.901161290322584</v>
      </c>
      <c r="BM23" s="7">
        <f t="shared" si="143"/>
        <v>36.47212903225806</v>
      </c>
      <c r="BN23" s="7">
        <f t="shared" ref="BN23" si="144">SUM(BN22+55%)</f>
        <v>37.07164516129032</v>
      </c>
      <c r="BO23" s="7">
        <f t="shared" ref="BO23" si="145">SUM(BO22+55%)</f>
        <v>37.70113709677419</v>
      </c>
      <c r="BP23" s="7">
        <f t="shared" ref="BP23" si="146">SUM(BP22+55%)</f>
        <v>38.362103629032262</v>
      </c>
      <c r="BQ23" s="36">
        <f t="shared" ref="BQ23:BS23" si="147">SUM(BQ22+55%)</f>
        <v>39.056118487903227</v>
      </c>
      <c r="BR23" s="8">
        <f t="shared" si="147"/>
        <v>35.901161290322584</v>
      </c>
      <c r="BS23" s="7">
        <f t="shared" si="147"/>
        <v>36.47212903225806</v>
      </c>
      <c r="BT23" s="7">
        <f t="shared" ref="BT23" si="148">SUM(BT22+55%)</f>
        <v>37.07164516129032</v>
      </c>
      <c r="BU23" s="7">
        <f t="shared" ref="BU23" si="149">SUM(BU22+55%)</f>
        <v>37.70113709677419</v>
      </c>
      <c r="BV23" s="7">
        <f t="shared" ref="BV23" si="150">SUM(BV22+55%)</f>
        <v>38.362103629032262</v>
      </c>
      <c r="BW23" s="36">
        <f t="shared" ref="BW23:BY23" si="151">SUM(BW22+55%)</f>
        <v>39.056118487903227</v>
      </c>
      <c r="BX23" s="8">
        <f t="shared" si="151"/>
        <v>35.901161290322584</v>
      </c>
      <c r="BY23" s="7">
        <f t="shared" si="151"/>
        <v>36.47212903225806</v>
      </c>
      <c r="BZ23" s="7">
        <f t="shared" ref="BZ23" si="152">SUM(BZ22+55%)</f>
        <v>37.07164516129032</v>
      </c>
      <c r="CA23" s="7">
        <f t="shared" ref="CA23" si="153">SUM(CA22+55%)</f>
        <v>37.70113709677419</v>
      </c>
      <c r="CB23" s="7">
        <f t="shared" ref="CB23" si="154">SUM(CB22+55%)</f>
        <v>38.362103629032262</v>
      </c>
      <c r="CC23" s="36">
        <f t="shared" ref="CC23:CE23" si="155">SUM(CC22+55%)</f>
        <v>39.056118487903227</v>
      </c>
      <c r="CD23" s="8">
        <f t="shared" si="155"/>
        <v>35.901161290322584</v>
      </c>
      <c r="CE23" s="7">
        <f t="shared" si="155"/>
        <v>36.47212903225806</v>
      </c>
      <c r="CF23" s="7">
        <f t="shared" ref="CF23" si="156">SUM(CF22+55%)</f>
        <v>37.07164516129032</v>
      </c>
      <c r="CG23" s="7">
        <f t="shared" ref="CG23" si="157">SUM(CG22+55%)</f>
        <v>37.70113709677419</v>
      </c>
      <c r="CH23" s="7">
        <f t="shared" ref="CH23" si="158">SUM(CH22+55%)</f>
        <v>38.362103629032262</v>
      </c>
      <c r="CI23" s="36">
        <f t="shared" ref="CI23:CK23" si="159">SUM(CI22+55%)</f>
        <v>39.056118487903227</v>
      </c>
      <c r="CJ23" s="8">
        <f t="shared" si="159"/>
        <v>35.901161290322584</v>
      </c>
      <c r="CK23" s="7">
        <f t="shared" si="159"/>
        <v>36.47212903225806</v>
      </c>
      <c r="CL23" s="7">
        <f t="shared" ref="CL23" si="160">SUM(CL22+55%)</f>
        <v>37.07164516129032</v>
      </c>
      <c r="CM23" s="7">
        <f t="shared" ref="CM23" si="161">SUM(CM22+55%)</f>
        <v>37.70113709677419</v>
      </c>
      <c r="CN23" s="7">
        <f t="shared" ref="CN23" si="162">SUM(CN22+55%)</f>
        <v>38.362103629032262</v>
      </c>
      <c r="CO23" s="36">
        <f t="shared" ref="CO23:CQ23" si="163">SUM(CO22+55%)</f>
        <v>39.056118487903227</v>
      </c>
      <c r="CP23" s="8">
        <f t="shared" si="163"/>
        <v>35.901161290322584</v>
      </c>
      <c r="CQ23" s="7">
        <f t="shared" si="163"/>
        <v>36.47212903225806</v>
      </c>
      <c r="CR23" s="7">
        <f t="shared" ref="CR23" si="164">SUM(CR22+55%)</f>
        <v>37.07164516129032</v>
      </c>
      <c r="CS23" s="7">
        <f t="shared" ref="CS23" si="165">SUM(CS22+55%)</f>
        <v>37.70113709677419</v>
      </c>
      <c r="CT23" s="7">
        <f t="shared" ref="CT23" si="166">SUM(CT22+55%)</f>
        <v>38.362103629032262</v>
      </c>
      <c r="CU23" s="36">
        <f t="shared" ref="CU23:CW23" si="167">SUM(CU22+55%)</f>
        <v>39.056118487903227</v>
      </c>
      <c r="CV23" s="8">
        <f t="shared" si="167"/>
        <v>27.338352941176474</v>
      </c>
      <c r="CW23" s="7">
        <f t="shared" si="167"/>
        <v>27.754823529411762</v>
      </c>
      <c r="CX23" s="7">
        <f t="shared" ref="CX23" si="168">SUM(CX22+55%)</f>
        <v>28.192117647058826</v>
      </c>
      <c r="CY23" s="7">
        <f t="shared" ref="CY23" si="169">SUM(CY22+55%)</f>
        <v>28.651276470588236</v>
      </c>
      <c r="CZ23" s="7">
        <f t="shared" ref="CZ23" si="170">SUM(CZ22+55%)</f>
        <v>29.133393235294122</v>
      </c>
      <c r="DA23" s="36">
        <f t="shared" ref="DA23:DC23" si="171">SUM(DA22+55%)</f>
        <v>29.639615838235297</v>
      </c>
      <c r="DB23" s="8">
        <f t="shared" si="171"/>
        <v>28.608941176470587</v>
      </c>
      <c r="DC23" s="7">
        <f t="shared" si="171"/>
        <v>29.088941176470588</v>
      </c>
      <c r="DD23" s="7">
        <f t="shared" ref="DD23" si="172">SUM(DD22+55%)</f>
        <v>29.592941176470585</v>
      </c>
      <c r="DE23" s="7">
        <f t="shared" ref="DE23" si="173">SUM(DE22+55%)</f>
        <v>31.180541176470587</v>
      </c>
      <c r="DF23" s="7">
        <f t="shared" ref="DF23" si="174">SUM(DF22+55%)</f>
        <v>33.006281176470587</v>
      </c>
      <c r="DG23" s="36">
        <f t="shared" ref="DG23:DI23" si="175">SUM(DG22+55%)</f>
        <v>35.105882176470587</v>
      </c>
      <c r="DH23" s="8">
        <f t="shared" si="175"/>
        <v>28.608941176470587</v>
      </c>
      <c r="DI23" s="7">
        <f t="shared" si="175"/>
        <v>29.088941176470588</v>
      </c>
      <c r="DJ23" s="7">
        <f t="shared" ref="DJ23" si="176">SUM(DJ22+55%)</f>
        <v>29.592941176470585</v>
      </c>
      <c r="DK23" s="7">
        <f t="shared" ref="DK23" si="177">SUM(DK22+55%)</f>
        <v>31.180541176470587</v>
      </c>
      <c r="DL23" s="7">
        <f t="shared" ref="DL23" si="178">SUM(DL22+55%)</f>
        <v>33.006281176470587</v>
      </c>
      <c r="DM23" s="36">
        <f t="shared" ref="DM23:DO23" si="179">SUM(DM22+55%)</f>
        <v>35.105882176470587</v>
      </c>
      <c r="DN23" s="8">
        <f t="shared" si="179"/>
        <v>33.892639999999993</v>
      </c>
      <c r="DO23" s="7">
        <f t="shared" si="179"/>
        <v>35.029618823529411</v>
      </c>
      <c r="DP23" s="7">
        <f t="shared" ref="DP23" si="180">SUM(DP22+55%)</f>
        <v>35.639458823529402</v>
      </c>
      <c r="DQ23" s="7">
        <f t="shared" ref="DQ23" si="181">SUM(DQ22+55%)</f>
        <v>37.560454823529405</v>
      </c>
      <c r="DR23" s="7">
        <f t="shared" ref="DR23" si="182">SUM(DR22+55%)</f>
        <v>39.125474599999997</v>
      </c>
      <c r="DS23" s="36">
        <f t="shared" ref="DS23:DU23" si="183">SUM(DS22+55%)</f>
        <v>40.937882146470585</v>
      </c>
      <c r="DT23" s="8">
        <f t="shared" si="183"/>
        <v>40.511167999999991</v>
      </c>
      <c r="DU23" s="7">
        <f t="shared" si="183"/>
        <v>41.875542588235291</v>
      </c>
      <c r="DV23" s="7">
        <f t="shared" ref="DV23" si="184">SUM(DV22+55%)</f>
        <v>42.607350588235285</v>
      </c>
      <c r="DW23" s="7">
        <f t="shared" ref="DW23" si="185">SUM(DW22+55%)</f>
        <v>43.809732143529409</v>
      </c>
      <c r="DX23" s="7">
        <f t="shared" ref="DX23" si="186">SUM(DX22+55%)</f>
        <v>46.407314774</v>
      </c>
      <c r="DY23" s="36">
        <f t="shared" ref="DY23:EA23" si="187">SUM(DY22+55%)</f>
        <v>48.564079754299996</v>
      </c>
      <c r="DZ23" s="8">
        <f t="shared" si="187"/>
        <v>40.511167999999991</v>
      </c>
      <c r="EA23" s="7">
        <f t="shared" si="187"/>
        <v>41.875542588235291</v>
      </c>
      <c r="EB23" s="7">
        <f t="shared" ref="EB23" si="188">SUM(EB22+55%)</f>
        <v>42.607350588235285</v>
      </c>
      <c r="EC23" s="7">
        <f t="shared" ref="EC23" si="189">SUM(EC22+55%)</f>
        <v>43.809732143529409</v>
      </c>
      <c r="ED23" s="7">
        <f t="shared" ref="ED23" si="190">SUM(ED22+55%)</f>
        <v>46.407314774</v>
      </c>
      <c r="EE23" s="36">
        <f t="shared" ref="EE23:EG23" si="191">SUM(EE22+55%)</f>
        <v>48.564079754299996</v>
      </c>
      <c r="EF23" s="8">
        <f t="shared" si="191"/>
        <v>28.608941176470587</v>
      </c>
      <c r="EG23" s="7">
        <f t="shared" si="191"/>
        <v>29.088941176470588</v>
      </c>
      <c r="EH23" s="7">
        <f t="shared" ref="EH23" si="192">SUM(EH22+55%)</f>
        <v>29.592941176470585</v>
      </c>
      <c r="EI23" s="7">
        <f t="shared" ref="EI23" si="193">SUM(EI22+55%)</f>
        <v>31.180541176470587</v>
      </c>
      <c r="EJ23" s="7">
        <f t="shared" ref="EJ23" si="194">SUM(EJ22+55%)</f>
        <v>33.006281176470587</v>
      </c>
      <c r="EK23" s="36">
        <f t="shared" ref="EK23:EL23" si="195">SUM(EK22+55%)</f>
        <v>35.105882176470587</v>
      </c>
      <c r="EL23" s="36">
        <f t="shared" si="195"/>
        <v>35.901161290322584</v>
      </c>
      <c r="EM23" s="8">
        <f t="shared" ref="EM23" si="196">SUM(EM22+55%)</f>
        <v>36.094709677419353</v>
      </c>
      <c r="EN23" s="7">
        <f t="shared" ref="EN23" si="197">SUM(EN22+55%)</f>
        <v>36.675354838709673</v>
      </c>
      <c r="EO23" s="7">
        <f t="shared" ref="EO23" si="198">SUM(EO22+55%)</f>
        <v>37.285032258064497</v>
      </c>
      <c r="EP23" s="7">
        <f t="shared" ref="EP23" si="199">SUM(EP22+55%)</f>
        <v>38.565354838709681</v>
      </c>
      <c r="EQ23" s="7">
        <f t="shared" ref="EQ23" si="200">SUM(EQ22+55%)</f>
        <v>39.973709677419357</v>
      </c>
      <c r="ER23" s="36">
        <f t="shared" ref="ER23" si="201">SUM(ER22+55%)</f>
        <v>41.522900000000007</v>
      </c>
      <c r="ES23" s="8">
        <f t="shared" ref="ES23" si="202">SUM(ES22+55%)</f>
        <v>36.094709677419353</v>
      </c>
      <c r="ET23" s="7">
        <f t="shared" ref="ET23" si="203">SUM(ET22+55%)</f>
        <v>36.675354838709673</v>
      </c>
      <c r="EU23" s="7">
        <f t="shared" ref="EU23" si="204">SUM(EU22+55%)</f>
        <v>37.285032258064518</v>
      </c>
      <c r="EV23" s="7">
        <f t="shared" ref="EV23" si="205">SUM(EV22+55%)</f>
        <v>38.565354838709681</v>
      </c>
      <c r="EW23" s="7">
        <f t="shared" ref="EW23" si="206">SUM(EW22+55%)</f>
        <v>39.973709677419357</v>
      </c>
      <c r="EX23" s="36">
        <f t="shared" ref="EX23" si="207">SUM(EX22+55%)</f>
        <v>41.522900000000007</v>
      </c>
      <c r="EY23" s="8">
        <f t="shared" ref="EY23" si="208">SUM(EY22+55%)</f>
        <v>37.643096774193545</v>
      </c>
      <c r="EZ23" s="7">
        <f t="shared" ref="EZ23" si="209">SUM(EZ22+55%)</f>
        <v>38.301161290322575</v>
      </c>
      <c r="FA23" s="7">
        <f t="shared" ref="FA23" si="210">SUM(FA22+55%)</f>
        <v>38.992129032258063</v>
      </c>
      <c r="FB23" s="7">
        <f t="shared" ref="FB23" si="211">SUM(FB22+55%)</f>
        <v>41.168677419354836</v>
      </c>
      <c r="FC23" s="7">
        <f t="shared" ref="FC23" si="212">SUM(FC22+55%)</f>
        <v>43.671708064516132</v>
      </c>
      <c r="FD23" s="36">
        <f t="shared" ref="FD23" si="213">SUM(FD22+55%)</f>
        <v>46.550193306451618</v>
      </c>
    </row>
    <row r="24" spans="2:160" x14ac:dyDescent="0.3">
      <c r="B24" s="2">
        <v>10.000999999999999</v>
      </c>
      <c r="C24" s="3">
        <v>11</v>
      </c>
      <c r="D24" s="8">
        <f>SUM(D23+85%)</f>
        <v>36.557612903225809</v>
      </c>
      <c r="E24" s="7">
        <f>SUM(E23+85%)</f>
        <v>37.118903225806449</v>
      </c>
      <c r="F24" s="7">
        <f t="shared" ref="F24:K24" si="214">SUM(F23+85%)</f>
        <v>37.708258064516123</v>
      </c>
      <c r="G24" s="7">
        <f t="shared" si="214"/>
        <v>38.327080645161281</v>
      </c>
      <c r="H24" s="7">
        <f t="shared" si="214"/>
        <v>38.976844354838711</v>
      </c>
      <c r="I24" s="36">
        <f t="shared" si="214"/>
        <v>39.659096249999997</v>
      </c>
      <c r="J24" s="8">
        <f t="shared" si="214"/>
        <v>36.751161290322585</v>
      </c>
      <c r="K24" s="7">
        <f t="shared" si="214"/>
        <v>37.322129032258061</v>
      </c>
      <c r="L24" s="7">
        <f t="shared" ref="L24" si="215">SUM(L23+85%)</f>
        <v>37.921645161290321</v>
      </c>
      <c r="M24" s="7">
        <f t="shared" ref="M24" si="216">SUM(M23+85%)</f>
        <v>38.551137096774191</v>
      </c>
      <c r="N24" s="7">
        <f t="shared" ref="N24" si="217">SUM(N23+85%)</f>
        <v>39.212103629032264</v>
      </c>
      <c r="O24" s="36">
        <f t="shared" ref="O24:Q24" si="218">SUM(O23+85%)</f>
        <v>39.906118487903228</v>
      </c>
      <c r="P24" s="8">
        <f t="shared" si="218"/>
        <v>36.944709677419354</v>
      </c>
      <c r="Q24" s="7">
        <f t="shared" si="218"/>
        <v>37.525354838709674</v>
      </c>
      <c r="R24" s="7">
        <f t="shared" ref="R24" si="219">SUM(R23+85%)</f>
        <v>38.13503225806452</v>
      </c>
      <c r="S24" s="7">
        <f t="shared" ref="S24" si="220">SUM(S23+85%)</f>
        <v>38.775193548387101</v>
      </c>
      <c r="T24" s="7">
        <f t="shared" ref="T24" si="221">SUM(T23+85%)</f>
        <v>39.447362903225816</v>
      </c>
      <c r="U24" s="36">
        <f t="shared" ref="U24:W24" si="222">SUM(U23+85%)</f>
        <v>40.153140725806459</v>
      </c>
      <c r="V24" s="8">
        <f t="shared" si="222"/>
        <v>36.751161290322585</v>
      </c>
      <c r="W24" s="7">
        <f t="shared" si="222"/>
        <v>37.322129032258061</v>
      </c>
      <c r="X24" s="7">
        <f t="shared" ref="X24" si="223">SUM(X23+85%)</f>
        <v>37.921645161290321</v>
      </c>
      <c r="Y24" s="7">
        <f t="shared" ref="Y24" si="224">SUM(Y23+85%)</f>
        <v>38.551137096774191</v>
      </c>
      <c r="Z24" s="7">
        <f t="shared" ref="Z24" si="225">SUM(Z23+85%)</f>
        <v>39.212103629032264</v>
      </c>
      <c r="AA24" s="36">
        <f t="shared" ref="AA24:AC24" si="226">SUM(AA23+85%)</f>
        <v>39.906118487903228</v>
      </c>
      <c r="AB24" s="8">
        <f t="shared" si="226"/>
        <v>36.944709677419354</v>
      </c>
      <c r="AC24" s="7">
        <f t="shared" si="226"/>
        <v>37.525354838709674</v>
      </c>
      <c r="AD24" s="7">
        <f t="shared" ref="AD24" si="227">SUM(AD23+85%)</f>
        <v>38.13503225806452</v>
      </c>
      <c r="AE24" s="7">
        <f t="shared" ref="AE24" si="228">SUM(AE23+85%)</f>
        <v>38.775193548387101</v>
      </c>
      <c r="AF24" s="7">
        <f t="shared" ref="AF24" si="229">SUM(AF23+85%)</f>
        <v>40.186749193548394</v>
      </c>
      <c r="AG24" s="36">
        <f t="shared" ref="AG24:AI24" si="230">SUM(AG23+85%)</f>
        <v>40.929496330645165</v>
      </c>
      <c r="AH24" s="8">
        <f t="shared" si="230"/>
        <v>36.944709677419354</v>
      </c>
      <c r="AI24" s="7">
        <f t="shared" si="230"/>
        <v>37.525354838709674</v>
      </c>
      <c r="AJ24" s="7">
        <f t="shared" ref="AJ24" si="231">SUM(AJ23+85%)</f>
        <v>38.13503225806452</v>
      </c>
      <c r="AK24" s="7">
        <f t="shared" ref="AK24" si="232">SUM(AK23+85%)</f>
        <v>38.775193548387101</v>
      </c>
      <c r="AL24" s="7">
        <f t="shared" ref="AL24" si="233">SUM(AL23+85%)</f>
        <v>39.447362903225816</v>
      </c>
      <c r="AM24" s="36">
        <f t="shared" ref="AM24:AO24" si="234">SUM(AM23+85%)</f>
        <v>40.153140725806459</v>
      </c>
      <c r="AN24" s="8">
        <f t="shared" si="234"/>
        <v>36.944709677419354</v>
      </c>
      <c r="AO24" s="7">
        <f t="shared" si="234"/>
        <v>37.525354838709674</v>
      </c>
      <c r="AP24" s="7">
        <f t="shared" ref="AP24" si="235">SUM(AP23+85%)</f>
        <v>38.13503225806452</v>
      </c>
      <c r="AQ24" s="7">
        <f t="shared" ref="AQ24" si="236">SUM(AQ23+85%)</f>
        <v>38.775193548387101</v>
      </c>
      <c r="AR24" s="7">
        <f t="shared" ref="AR24" si="237">SUM(AR23+85%)</f>
        <v>39.447362903225816</v>
      </c>
      <c r="AS24" s="36">
        <f t="shared" ref="AS24:AU24" si="238">SUM(AS23+85%)</f>
        <v>40.153140725806459</v>
      </c>
      <c r="AT24" s="8">
        <f t="shared" si="238"/>
        <v>36.751161290322585</v>
      </c>
      <c r="AU24" s="7">
        <f t="shared" si="238"/>
        <v>37.322129032258061</v>
      </c>
      <c r="AV24" s="7">
        <f t="shared" ref="AV24" si="239">SUM(AV23+85%)</f>
        <v>37.921645161290321</v>
      </c>
      <c r="AW24" s="7">
        <f t="shared" ref="AW24" si="240">SUM(AW23+85%)</f>
        <v>38.551137096774191</v>
      </c>
      <c r="AX24" s="7">
        <f t="shared" ref="AX24" si="241">SUM(AX23+85%)</f>
        <v>39.212103629032264</v>
      </c>
      <c r="AY24" s="36">
        <f t="shared" ref="AY24:BA24" si="242">SUM(AY23+85%)</f>
        <v>39.906118487903228</v>
      </c>
      <c r="AZ24" s="8">
        <f t="shared" si="242"/>
        <v>36.751161290322585</v>
      </c>
      <c r="BA24" s="7">
        <f t="shared" si="242"/>
        <v>37.322129032258061</v>
      </c>
      <c r="BB24" s="7">
        <f t="shared" ref="BB24" si="243">SUM(BB23+85%)</f>
        <v>37.921645161290321</v>
      </c>
      <c r="BC24" s="7">
        <f t="shared" ref="BC24" si="244">SUM(BC23+85%)</f>
        <v>38.551137096774191</v>
      </c>
      <c r="BD24" s="7">
        <f t="shared" ref="BD24" si="245">SUM(BD23+85%)</f>
        <v>39.212103629032264</v>
      </c>
      <c r="BE24" s="36">
        <f t="shared" ref="BE24:BG24" si="246">SUM(BE23+85%)</f>
        <v>39.906118487903228</v>
      </c>
      <c r="BF24" s="8">
        <f t="shared" si="246"/>
        <v>36.751161290322585</v>
      </c>
      <c r="BG24" s="7">
        <f t="shared" si="246"/>
        <v>37.322129032258061</v>
      </c>
      <c r="BH24" s="7">
        <f t="shared" ref="BH24" si="247">SUM(BH23+85%)</f>
        <v>37.921645161290321</v>
      </c>
      <c r="BI24" s="7">
        <f t="shared" ref="BI24" si="248">SUM(BI23+85%)</f>
        <v>38.551137096774191</v>
      </c>
      <c r="BJ24" s="7">
        <f t="shared" ref="BJ24" si="249">SUM(BJ23+85%)</f>
        <v>39.212103629032264</v>
      </c>
      <c r="BK24" s="36">
        <f t="shared" ref="BK24:BM24" si="250">SUM(BK23+85%)</f>
        <v>39.906118487903228</v>
      </c>
      <c r="BL24" s="8">
        <f t="shared" si="250"/>
        <v>36.751161290322585</v>
      </c>
      <c r="BM24" s="7">
        <f t="shared" si="250"/>
        <v>37.322129032258061</v>
      </c>
      <c r="BN24" s="7">
        <f t="shared" ref="BN24" si="251">SUM(BN23+85%)</f>
        <v>37.921645161290321</v>
      </c>
      <c r="BO24" s="7">
        <f t="shared" ref="BO24" si="252">SUM(BO23+85%)</f>
        <v>38.551137096774191</v>
      </c>
      <c r="BP24" s="7">
        <f t="shared" ref="BP24" si="253">SUM(BP23+85%)</f>
        <v>39.212103629032264</v>
      </c>
      <c r="BQ24" s="36">
        <f t="shared" ref="BQ24:BS24" si="254">SUM(BQ23+85%)</f>
        <v>39.906118487903228</v>
      </c>
      <c r="BR24" s="8">
        <f t="shared" si="254"/>
        <v>36.751161290322585</v>
      </c>
      <c r="BS24" s="7">
        <f t="shared" si="254"/>
        <v>37.322129032258061</v>
      </c>
      <c r="BT24" s="7">
        <f t="shared" ref="BT24" si="255">SUM(BT23+85%)</f>
        <v>37.921645161290321</v>
      </c>
      <c r="BU24" s="7">
        <f t="shared" ref="BU24" si="256">SUM(BU23+85%)</f>
        <v>38.551137096774191</v>
      </c>
      <c r="BV24" s="7">
        <f t="shared" ref="BV24" si="257">SUM(BV23+85%)</f>
        <v>39.212103629032264</v>
      </c>
      <c r="BW24" s="36">
        <f t="shared" ref="BW24:BY24" si="258">SUM(BW23+85%)</f>
        <v>39.906118487903228</v>
      </c>
      <c r="BX24" s="8">
        <f t="shared" si="258"/>
        <v>36.751161290322585</v>
      </c>
      <c r="BY24" s="7">
        <f t="shared" si="258"/>
        <v>37.322129032258061</v>
      </c>
      <c r="BZ24" s="7">
        <f t="shared" ref="BZ24" si="259">SUM(BZ23+85%)</f>
        <v>37.921645161290321</v>
      </c>
      <c r="CA24" s="7">
        <f t="shared" ref="CA24" si="260">SUM(CA23+85%)</f>
        <v>38.551137096774191</v>
      </c>
      <c r="CB24" s="7">
        <f t="shared" ref="CB24" si="261">SUM(CB23+85%)</f>
        <v>39.212103629032264</v>
      </c>
      <c r="CC24" s="36">
        <f t="shared" ref="CC24:CE24" si="262">SUM(CC23+85%)</f>
        <v>39.906118487903228</v>
      </c>
      <c r="CD24" s="8">
        <f t="shared" si="262"/>
        <v>36.751161290322585</v>
      </c>
      <c r="CE24" s="7">
        <f t="shared" si="262"/>
        <v>37.322129032258061</v>
      </c>
      <c r="CF24" s="7">
        <f t="shared" ref="CF24" si="263">SUM(CF23+85%)</f>
        <v>37.921645161290321</v>
      </c>
      <c r="CG24" s="7">
        <f t="shared" ref="CG24" si="264">SUM(CG23+85%)</f>
        <v>38.551137096774191</v>
      </c>
      <c r="CH24" s="7">
        <f t="shared" ref="CH24" si="265">SUM(CH23+85%)</f>
        <v>39.212103629032264</v>
      </c>
      <c r="CI24" s="36">
        <f t="shared" ref="CI24:CK24" si="266">SUM(CI23+85%)</f>
        <v>39.906118487903228</v>
      </c>
      <c r="CJ24" s="8">
        <f t="shared" si="266"/>
        <v>36.751161290322585</v>
      </c>
      <c r="CK24" s="7">
        <f t="shared" si="266"/>
        <v>37.322129032258061</v>
      </c>
      <c r="CL24" s="7">
        <f t="shared" ref="CL24" si="267">SUM(CL23+85%)</f>
        <v>37.921645161290321</v>
      </c>
      <c r="CM24" s="7">
        <f t="shared" ref="CM24" si="268">SUM(CM23+85%)</f>
        <v>38.551137096774191</v>
      </c>
      <c r="CN24" s="7">
        <f t="shared" ref="CN24" si="269">SUM(CN23+85%)</f>
        <v>39.212103629032264</v>
      </c>
      <c r="CO24" s="36">
        <f t="shared" ref="CO24:CQ24" si="270">SUM(CO23+85%)</f>
        <v>39.906118487903228</v>
      </c>
      <c r="CP24" s="8">
        <f t="shared" si="270"/>
        <v>36.751161290322585</v>
      </c>
      <c r="CQ24" s="7">
        <f t="shared" si="270"/>
        <v>37.322129032258061</v>
      </c>
      <c r="CR24" s="7">
        <f t="shared" ref="CR24" si="271">SUM(CR23+85%)</f>
        <v>37.921645161290321</v>
      </c>
      <c r="CS24" s="7">
        <f t="shared" ref="CS24" si="272">SUM(CS23+85%)</f>
        <v>38.551137096774191</v>
      </c>
      <c r="CT24" s="7">
        <f t="shared" ref="CT24" si="273">SUM(CT23+85%)</f>
        <v>39.212103629032264</v>
      </c>
      <c r="CU24" s="36">
        <f t="shared" ref="CU24:CW24" si="274">SUM(CU23+85%)</f>
        <v>39.906118487903228</v>
      </c>
      <c r="CV24" s="8">
        <f t="shared" si="274"/>
        <v>28.188352941176475</v>
      </c>
      <c r="CW24" s="7">
        <f t="shared" si="274"/>
        <v>28.604823529411764</v>
      </c>
      <c r="CX24" s="7">
        <f t="shared" ref="CX24" si="275">SUM(CX23+85%)</f>
        <v>29.042117647058827</v>
      </c>
      <c r="CY24" s="7">
        <f t="shared" ref="CY24" si="276">SUM(CY23+85%)</f>
        <v>29.501276470588238</v>
      </c>
      <c r="CZ24" s="7">
        <f t="shared" ref="CZ24" si="277">SUM(CZ23+85%)</f>
        <v>29.983393235294123</v>
      </c>
      <c r="DA24" s="36">
        <f t="shared" ref="DA24:DC24" si="278">SUM(DA23+85%)</f>
        <v>30.489615838235299</v>
      </c>
      <c r="DB24" s="8">
        <f t="shared" si="278"/>
        <v>29.458941176470589</v>
      </c>
      <c r="DC24" s="7">
        <f t="shared" si="278"/>
        <v>29.938941176470589</v>
      </c>
      <c r="DD24" s="7">
        <f t="shared" ref="DD24" si="279">SUM(DD23+85%)</f>
        <v>30.442941176470587</v>
      </c>
      <c r="DE24" s="7">
        <f t="shared" ref="DE24" si="280">SUM(DE23+85%)</f>
        <v>32.030541176470585</v>
      </c>
      <c r="DF24" s="7">
        <f t="shared" ref="DF24" si="281">SUM(DF23+85%)</f>
        <v>33.856281176470588</v>
      </c>
      <c r="DG24" s="36">
        <f t="shared" ref="DG24:DI24" si="282">SUM(DG23+85%)</f>
        <v>35.955882176470588</v>
      </c>
      <c r="DH24" s="8">
        <f t="shared" si="282"/>
        <v>29.458941176470589</v>
      </c>
      <c r="DI24" s="7">
        <f t="shared" si="282"/>
        <v>29.938941176470589</v>
      </c>
      <c r="DJ24" s="7">
        <f t="shared" ref="DJ24" si="283">SUM(DJ23+85%)</f>
        <v>30.442941176470587</v>
      </c>
      <c r="DK24" s="7">
        <f t="shared" ref="DK24" si="284">SUM(DK23+85%)</f>
        <v>32.030541176470585</v>
      </c>
      <c r="DL24" s="7">
        <f t="shared" ref="DL24" si="285">SUM(DL23+85%)</f>
        <v>33.856281176470588</v>
      </c>
      <c r="DM24" s="36">
        <f t="shared" ref="DM24:DO24" si="286">SUM(DM23+85%)</f>
        <v>35.955882176470588</v>
      </c>
      <c r="DN24" s="8">
        <f t="shared" si="286"/>
        <v>34.742639999999994</v>
      </c>
      <c r="DO24" s="7">
        <f t="shared" si="286"/>
        <v>35.879618823529412</v>
      </c>
      <c r="DP24" s="7">
        <f t="shared" ref="DP24" si="287">SUM(DP23+85%)</f>
        <v>36.489458823529404</v>
      </c>
      <c r="DQ24" s="7">
        <f t="shared" ref="DQ24" si="288">SUM(DQ23+85%)</f>
        <v>38.410454823529406</v>
      </c>
      <c r="DR24" s="7">
        <f t="shared" ref="DR24" si="289">SUM(DR23+85%)</f>
        <v>39.975474599999998</v>
      </c>
      <c r="DS24" s="36">
        <f t="shared" ref="DS24:DU24" si="290">SUM(DS23+85%)</f>
        <v>41.787882146470587</v>
      </c>
      <c r="DT24" s="8">
        <f t="shared" si="290"/>
        <v>41.361167999999992</v>
      </c>
      <c r="DU24" s="7">
        <f t="shared" si="290"/>
        <v>42.725542588235292</v>
      </c>
      <c r="DV24" s="7">
        <f t="shared" ref="DV24" si="291">SUM(DV23+85%)</f>
        <v>43.457350588235286</v>
      </c>
      <c r="DW24" s="7">
        <f t="shared" ref="DW24" si="292">SUM(DW23+85%)</f>
        <v>44.659732143529411</v>
      </c>
      <c r="DX24" s="7">
        <f t="shared" ref="DX24" si="293">SUM(DX23+85%)</f>
        <v>47.257314774000001</v>
      </c>
      <c r="DY24" s="36">
        <f t="shared" ref="DY24:EA24" si="294">SUM(DY23+85%)</f>
        <v>49.414079754299998</v>
      </c>
      <c r="DZ24" s="8">
        <f t="shared" si="294"/>
        <v>41.361167999999992</v>
      </c>
      <c r="EA24" s="7">
        <f t="shared" si="294"/>
        <v>42.725542588235292</v>
      </c>
      <c r="EB24" s="7">
        <f t="shared" ref="EB24" si="295">SUM(EB23+85%)</f>
        <v>43.457350588235286</v>
      </c>
      <c r="EC24" s="7">
        <f t="shared" ref="EC24" si="296">SUM(EC23+85%)</f>
        <v>44.659732143529411</v>
      </c>
      <c r="ED24" s="7">
        <f t="shared" ref="ED24" si="297">SUM(ED23+85%)</f>
        <v>47.257314774000001</v>
      </c>
      <c r="EE24" s="36">
        <f t="shared" ref="EE24:EG24" si="298">SUM(EE23+85%)</f>
        <v>49.414079754299998</v>
      </c>
      <c r="EF24" s="8">
        <f t="shared" si="298"/>
        <v>29.458941176470589</v>
      </c>
      <c r="EG24" s="7">
        <f t="shared" si="298"/>
        <v>29.938941176470589</v>
      </c>
      <c r="EH24" s="7">
        <f t="shared" ref="EH24" si="299">SUM(EH23+85%)</f>
        <v>30.442941176470587</v>
      </c>
      <c r="EI24" s="7">
        <f t="shared" ref="EI24" si="300">SUM(EI23+85%)</f>
        <v>32.030541176470585</v>
      </c>
      <c r="EJ24" s="7">
        <f t="shared" ref="EJ24" si="301">SUM(EJ23+85%)</f>
        <v>33.856281176470588</v>
      </c>
      <c r="EK24" s="36">
        <f t="shared" ref="EK24:EL24" si="302">SUM(EK23+85%)</f>
        <v>35.955882176470588</v>
      </c>
      <c r="EL24" s="36">
        <f t="shared" si="302"/>
        <v>36.751161290322585</v>
      </c>
      <c r="EM24" s="8">
        <f t="shared" ref="EM24" si="303">SUM(EM23+85%)</f>
        <v>36.944709677419354</v>
      </c>
      <c r="EN24" s="7">
        <f t="shared" ref="EN24" si="304">SUM(EN23+85%)</f>
        <v>37.525354838709674</v>
      </c>
      <c r="EO24" s="7">
        <f t="shared" ref="EO24" si="305">SUM(EO23+85%)</f>
        <v>38.135032258064498</v>
      </c>
      <c r="EP24" s="7">
        <f t="shared" ref="EP24" si="306">SUM(EP23+85%)</f>
        <v>39.415354838709682</v>
      </c>
      <c r="EQ24" s="7">
        <f t="shared" ref="EQ24" si="307">SUM(EQ23+85%)</f>
        <v>40.823709677419359</v>
      </c>
      <c r="ER24" s="36">
        <f t="shared" ref="ER24" si="308">SUM(ER23+85%)</f>
        <v>42.372900000000008</v>
      </c>
      <c r="ES24" s="8">
        <f t="shared" ref="ES24" si="309">SUM(ES23+85%)</f>
        <v>36.944709677419354</v>
      </c>
      <c r="ET24" s="7">
        <f t="shared" ref="ET24" si="310">SUM(ET23+85%)</f>
        <v>37.525354838709674</v>
      </c>
      <c r="EU24" s="7">
        <f t="shared" ref="EU24" si="311">SUM(EU23+85%)</f>
        <v>38.13503225806452</v>
      </c>
      <c r="EV24" s="7">
        <f t="shared" ref="EV24" si="312">SUM(EV23+85%)</f>
        <v>39.415354838709682</v>
      </c>
      <c r="EW24" s="7">
        <f t="shared" ref="EW24" si="313">SUM(EW23+85%)</f>
        <v>40.823709677419359</v>
      </c>
      <c r="EX24" s="36">
        <f t="shared" ref="EX24" si="314">SUM(EX23+85%)</f>
        <v>42.372900000000008</v>
      </c>
      <c r="EY24" s="8">
        <f t="shared" ref="EY24" si="315">SUM(EY23+85%)</f>
        <v>38.493096774193546</v>
      </c>
      <c r="EZ24" s="7">
        <f t="shared" ref="EZ24" si="316">SUM(EZ23+85%)</f>
        <v>39.151161290322577</v>
      </c>
      <c r="FA24" s="7">
        <f t="shared" ref="FA24" si="317">SUM(FA23+85%)</f>
        <v>39.842129032258065</v>
      </c>
      <c r="FB24" s="7">
        <f t="shared" ref="FB24" si="318">SUM(FB23+85%)</f>
        <v>42.018677419354837</v>
      </c>
      <c r="FC24" s="7">
        <f t="shared" ref="FC24" si="319">SUM(FC23+85%)</f>
        <v>44.521708064516133</v>
      </c>
      <c r="FD24" s="36">
        <f t="shared" ref="FD24" si="320">SUM(FD23+85%)</f>
        <v>47.400193306451619</v>
      </c>
    </row>
    <row r="25" spans="2:160" x14ac:dyDescent="0.3">
      <c r="B25" s="2">
        <v>11.000999999999999</v>
      </c>
      <c r="C25" s="3">
        <v>12</v>
      </c>
      <c r="D25" s="8">
        <f>SUM(D24+55%)</f>
        <v>37.107612903225807</v>
      </c>
      <c r="E25" s="7">
        <f>SUM(E24+55%)</f>
        <v>37.668903225806446</v>
      </c>
      <c r="F25" s="7">
        <f t="shared" ref="F25:K25" si="321">SUM(F24+55%)</f>
        <v>38.25825806451612</v>
      </c>
      <c r="G25" s="7">
        <f t="shared" si="321"/>
        <v>38.877080645161278</v>
      </c>
      <c r="H25" s="7">
        <f t="shared" si="321"/>
        <v>39.526844354838708</v>
      </c>
      <c r="I25" s="36">
        <f t="shared" si="321"/>
        <v>40.209096249999995</v>
      </c>
      <c r="J25" s="8">
        <f t="shared" si="321"/>
        <v>37.301161290322582</v>
      </c>
      <c r="K25" s="7">
        <f t="shared" si="321"/>
        <v>37.872129032258059</v>
      </c>
      <c r="L25" s="7">
        <f t="shared" ref="L25" si="322">SUM(L24+55%)</f>
        <v>38.471645161290319</v>
      </c>
      <c r="M25" s="7">
        <f t="shared" ref="M25" si="323">SUM(M24+55%)</f>
        <v>39.101137096774188</v>
      </c>
      <c r="N25" s="7">
        <f t="shared" ref="N25" si="324">SUM(N24+55%)</f>
        <v>39.762103629032261</v>
      </c>
      <c r="O25" s="36">
        <f t="shared" ref="O25:Q25" si="325">SUM(O24+55%)</f>
        <v>40.456118487903225</v>
      </c>
      <c r="P25" s="8">
        <f t="shared" si="325"/>
        <v>37.494709677419351</v>
      </c>
      <c r="Q25" s="7">
        <f t="shared" si="325"/>
        <v>38.075354838709671</v>
      </c>
      <c r="R25" s="7">
        <f t="shared" ref="R25" si="326">SUM(R24+55%)</f>
        <v>38.685032258064517</v>
      </c>
      <c r="S25" s="7">
        <f t="shared" ref="S25" si="327">SUM(S24+55%)</f>
        <v>39.325193548387098</v>
      </c>
      <c r="T25" s="7">
        <f t="shared" ref="T25" si="328">SUM(T24+55%)</f>
        <v>39.997362903225813</v>
      </c>
      <c r="U25" s="36">
        <f t="shared" ref="U25:W25" si="329">SUM(U24+55%)</f>
        <v>40.703140725806456</v>
      </c>
      <c r="V25" s="8">
        <f t="shared" si="329"/>
        <v>37.301161290322582</v>
      </c>
      <c r="W25" s="7">
        <f t="shared" si="329"/>
        <v>37.872129032258059</v>
      </c>
      <c r="X25" s="7">
        <f t="shared" ref="X25" si="330">SUM(X24+55%)</f>
        <v>38.471645161290319</v>
      </c>
      <c r="Y25" s="7">
        <f t="shared" ref="Y25" si="331">SUM(Y24+55%)</f>
        <v>39.101137096774188</v>
      </c>
      <c r="Z25" s="7">
        <f t="shared" ref="Z25" si="332">SUM(Z24+55%)</f>
        <v>39.762103629032261</v>
      </c>
      <c r="AA25" s="36">
        <f t="shared" ref="AA25:AC25" si="333">SUM(AA24+55%)</f>
        <v>40.456118487903225</v>
      </c>
      <c r="AB25" s="8">
        <f t="shared" si="333"/>
        <v>37.494709677419351</v>
      </c>
      <c r="AC25" s="7">
        <f t="shared" si="333"/>
        <v>38.075354838709671</v>
      </c>
      <c r="AD25" s="7">
        <f t="shared" ref="AD25" si="334">SUM(AD24+55%)</f>
        <v>38.685032258064517</v>
      </c>
      <c r="AE25" s="7">
        <f t="shared" ref="AE25" si="335">SUM(AE24+55%)</f>
        <v>39.325193548387098</v>
      </c>
      <c r="AF25" s="7">
        <f t="shared" ref="AF25" si="336">SUM(AF24+55%)</f>
        <v>40.736749193548391</v>
      </c>
      <c r="AG25" s="36">
        <f t="shared" ref="AG25:AI25" si="337">SUM(AG24+55%)</f>
        <v>41.479496330645162</v>
      </c>
      <c r="AH25" s="8">
        <f t="shared" si="337"/>
        <v>37.494709677419351</v>
      </c>
      <c r="AI25" s="7">
        <f t="shared" si="337"/>
        <v>38.075354838709671</v>
      </c>
      <c r="AJ25" s="7">
        <f t="shared" ref="AJ25" si="338">SUM(AJ24+55%)</f>
        <v>38.685032258064517</v>
      </c>
      <c r="AK25" s="7">
        <f t="shared" ref="AK25" si="339">SUM(AK24+55%)</f>
        <v>39.325193548387098</v>
      </c>
      <c r="AL25" s="7">
        <f t="shared" ref="AL25" si="340">SUM(AL24+55%)</f>
        <v>39.997362903225813</v>
      </c>
      <c r="AM25" s="36">
        <f t="shared" ref="AM25:AO25" si="341">SUM(AM24+55%)</f>
        <v>40.703140725806456</v>
      </c>
      <c r="AN25" s="8">
        <f t="shared" si="341"/>
        <v>37.494709677419351</v>
      </c>
      <c r="AO25" s="7">
        <f t="shared" si="341"/>
        <v>38.075354838709671</v>
      </c>
      <c r="AP25" s="7">
        <f t="shared" ref="AP25" si="342">SUM(AP24+55%)</f>
        <v>38.685032258064517</v>
      </c>
      <c r="AQ25" s="7">
        <f t="shared" ref="AQ25" si="343">SUM(AQ24+55%)</f>
        <v>39.325193548387098</v>
      </c>
      <c r="AR25" s="7">
        <f t="shared" ref="AR25" si="344">SUM(AR24+55%)</f>
        <v>39.997362903225813</v>
      </c>
      <c r="AS25" s="36">
        <f t="shared" ref="AS25:AU25" si="345">SUM(AS24+55%)</f>
        <v>40.703140725806456</v>
      </c>
      <c r="AT25" s="8">
        <f t="shared" si="345"/>
        <v>37.301161290322582</v>
      </c>
      <c r="AU25" s="7">
        <f t="shared" si="345"/>
        <v>37.872129032258059</v>
      </c>
      <c r="AV25" s="7">
        <f t="shared" ref="AV25" si="346">SUM(AV24+55%)</f>
        <v>38.471645161290319</v>
      </c>
      <c r="AW25" s="7">
        <f t="shared" ref="AW25" si="347">SUM(AW24+55%)</f>
        <v>39.101137096774188</v>
      </c>
      <c r="AX25" s="7">
        <f t="shared" ref="AX25" si="348">SUM(AX24+55%)</f>
        <v>39.762103629032261</v>
      </c>
      <c r="AY25" s="36">
        <f t="shared" ref="AY25:BA25" si="349">SUM(AY24+55%)</f>
        <v>40.456118487903225</v>
      </c>
      <c r="AZ25" s="8">
        <f t="shared" si="349"/>
        <v>37.301161290322582</v>
      </c>
      <c r="BA25" s="7">
        <f t="shared" si="349"/>
        <v>37.872129032258059</v>
      </c>
      <c r="BB25" s="7">
        <f t="shared" ref="BB25" si="350">SUM(BB24+55%)</f>
        <v>38.471645161290319</v>
      </c>
      <c r="BC25" s="7">
        <f t="shared" ref="BC25" si="351">SUM(BC24+55%)</f>
        <v>39.101137096774188</v>
      </c>
      <c r="BD25" s="7">
        <f t="shared" ref="BD25" si="352">SUM(BD24+55%)</f>
        <v>39.762103629032261</v>
      </c>
      <c r="BE25" s="36">
        <f t="shared" ref="BE25:BG25" si="353">SUM(BE24+55%)</f>
        <v>40.456118487903225</v>
      </c>
      <c r="BF25" s="8">
        <f t="shared" si="353"/>
        <v>37.301161290322582</v>
      </c>
      <c r="BG25" s="7">
        <f t="shared" si="353"/>
        <v>37.872129032258059</v>
      </c>
      <c r="BH25" s="7">
        <f t="shared" ref="BH25" si="354">SUM(BH24+55%)</f>
        <v>38.471645161290319</v>
      </c>
      <c r="BI25" s="7">
        <f t="shared" ref="BI25" si="355">SUM(BI24+55%)</f>
        <v>39.101137096774188</v>
      </c>
      <c r="BJ25" s="7">
        <f t="shared" ref="BJ25" si="356">SUM(BJ24+55%)</f>
        <v>39.762103629032261</v>
      </c>
      <c r="BK25" s="36">
        <f t="shared" ref="BK25:BM25" si="357">SUM(BK24+55%)</f>
        <v>40.456118487903225</v>
      </c>
      <c r="BL25" s="8">
        <f t="shared" si="357"/>
        <v>37.301161290322582</v>
      </c>
      <c r="BM25" s="7">
        <f t="shared" si="357"/>
        <v>37.872129032258059</v>
      </c>
      <c r="BN25" s="7">
        <f t="shared" ref="BN25" si="358">SUM(BN24+55%)</f>
        <v>38.471645161290319</v>
      </c>
      <c r="BO25" s="7">
        <f t="shared" ref="BO25" si="359">SUM(BO24+55%)</f>
        <v>39.101137096774188</v>
      </c>
      <c r="BP25" s="7">
        <f t="shared" ref="BP25" si="360">SUM(BP24+55%)</f>
        <v>39.762103629032261</v>
      </c>
      <c r="BQ25" s="36">
        <f t="shared" ref="BQ25:BS25" si="361">SUM(BQ24+55%)</f>
        <v>40.456118487903225</v>
      </c>
      <c r="BR25" s="8">
        <f t="shared" si="361"/>
        <v>37.301161290322582</v>
      </c>
      <c r="BS25" s="7">
        <f t="shared" si="361"/>
        <v>37.872129032258059</v>
      </c>
      <c r="BT25" s="7">
        <f t="shared" ref="BT25" si="362">SUM(BT24+55%)</f>
        <v>38.471645161290319</v>
      </c>
      <c r="BU25" s="7">
        <f t="shared" ref="BU25" si="363">SUM(BU24+55%)</f>
        <v>39.101137096774188</v>
      </c>
      <c r="BV25" s="7">
        <f t="shared" ref="BV25" si="364">SUM(BV24+55%)</f>
        <v>39.762103629032261</v>
      </c>
      <c r="BW25" s="36">
        <f t="shared" ref="BW25:BY25" si="365">SUM(BW24+55%)</f>
        <v>40.456118487903225</v>
      </c>
      <c r="BX25" s="8">
        <f t="shared" si="365"/>
        <v>37.301161290322582</v>
      </c>
      <c r="BY25" s="7">
        <f t="shared" si="365"/>
        <v>37.872129032258059</v>
      </c>
      <c r="BZ25" s="7">
        <f t="shared" ref="BZ25" si="366">SUM(BZ24+55%)</f>
        <v>38.471645161290319</v>
      </c>
      <c r="CA25" s="7">
        <f t="shared" ref="CA25" si="367">SUM(CA24+55%)</f>
        <v>39.101137096774188</v>
      </c>
      <c r="CB25" s="7">
        <f t="shared" ref="CB25" si="368">SUM(CB24+55%)</f>
        <v>39.762103629032261</v>
      </c>
      <c r="CC25" s="36">
        <f t="shared" ref="CC25:CE25" si="369">SUM(CC24+55%)</f>
        <v>40.456118487903225</v>
      </c>
      <c r="CD25" s="8">
        <f t="shared" si="369"/>
        <v>37.301161290322582</v>
      </c>
      <c r="CE25" s="7">
        <f t="shared" si="369"/>
        <v>37.872129032258059</v>
      </c>
      <c r="CF25" s="7">
        <f t="shared" ref="CF25" si="370">SUM(CF24+55%)</f>
        <v>38.471645161290319</v>
      </c>
      <c r="CG25" s="7">
        <f t="shared" ref="CG25" si="371">SUM(CG24+55%)</f>
        <v>39.101137096774188</v>
      </c>
      <c r="CH25" s="7">
        <f t="shared" ref="CH25" si="372">SUM(CH24+55%)</f>
        <v>39.762103629032261</v>
      </c>
      <c r="CI25" s="36">
        <f t="shared" ref="CI25:CK25" si="373">SUM(CI24+55%)</f>
        <v>40.456118487903225</v>
      </c>
      <c r="CJ25" s="8">
        <f t="shared" si="373"/>
        <v>37.301161290322582</v>
      </c>
      <c r="CK25" s="7">
        <f t="shared" si="373"/>
        <v>37.872129032258059</v>
      </c>
      <c r="CL25" s="7">
        <f t="shared" ref="CL25" si="374">SUM(CL24+55%)</f>
        <v>38.471645161290319</v>
      </c>
      <c r="CM25" s="7">
        <f t="shared" ref="CM25" si="375">SUM(CM24+55%)</f>
        <v>39.101137096774188</v>
      </c>
      <c r="CN25" s="7">
        <f t="shared" ref="CN25" si="376">SUM(CN24+55%)</f>
        <v>39.762103629032261</v>
      </c>
      <c r="CO25" s="36">
        <f t="shared" ref="CO25:CQ25" si="377">SUM(CO24+55%)</f>
        <v>40.456118487903225</v>
      </c>
      <c r="CP25" s="8">
        <f t="shared" si="377"/>
        <v>37.301161290322582</v>
      </c>
      <c r="CQ25" s="7">
        <f t="shared" si="377"/>
        <v>37.872129032258059</v>
      </c>
      <c r="CR25" s="7">
        <f t="shared" ref="CR25" si="378">SUM(CR24+55%)</f>
        <v>38.471645161290319</v>
      </c>
      <c r="CS25" s="7">
        <f t="shared" ref="CS25" si="379">SUM(CS24+55%)</f>
        <v>39.101137096774188</v>
      </c>
      <c r="CT25" s="7">
        <f t="shared" ref="CT25" si="380">SUM(CT24+55%)</f>
        <v>39.762103629032261</v>
      </c>
      <c r="CU25" s="36">
        <f t="shared" ref="CU25:CW25" si="381">SUM(CU24+55%)</f>
        <v>40.456118487903225</v>
      </c>
      <c r="CV25" s="8">
        <f t="shared" si="381"/>
        <v>28.738352941176476</v>
      </c>
      <c r="CW25" s="7">
        <f t="shared" si="381"/>
        <v>29.154823529411765</v>
      </c>
      <c r="CX25" s="7">
        <f t="shared" ref="CX25" si="382">SUM(CX24+55%)</f>
        <v>29.592117647058828</v>
      </c>
      <c r="CY25" s="7">
        <f t="shared" ref="CY25" si="383">SUM(CY24+55%)</f>
        <v>30.051276470588238</v>
      </c>
      <c r="CZ25" s="7">
        <f t="shared" ref="CZ25" si="384">SUM(CZ24+55%)</f>
        <v>30.533393235294124</v>
      </c>
      <c r="DA25" s="36">
        <f t="shared" ref="DA25:DC25" si="385">SUM(DA24+55%)</f>
        <v>31.039615838235299</v>
      </c>
      <c r="DB25" s="8">
        <f t="shared" si="385"/>
        <v>30.008941176470589</v>
      </c>
      <c r="DC25" s="7">
        <f t="shared" si="385"/>
        <v>30.48894117647059</v>
      </c>
      <c r="DD25" s="7">
        <f t="shared" ref="DD25" si="386">SUM(DD24+55%)</f>
        <v>30.992941176470588</v>
      </c>
      <c r="DE25" s="7">
        <f t="shared" ref="DE25" si="387">SUM(DE24+55%)</f>
        <v>32.580541176470582</v>
      </c>
      <c r="DF25" s="7">
        <f t="shared" ref="DF25" si="388">SUM(DF24+55%)</f>
        <v>34.406281176470586</v>
      </c>
      <c r="DG25" s="36">
        <f t="shared" ref="DG25:DI25" si="389">SUM(DG24+55%)</f>
        <v>36.505882176470585</v>
      </c>
      <c r="DH25" s="8">
        <f t="shared" si="389"/>
        <v>30.008941176470589</v>
      </c>
      <c r="DI25" s="7">
        <f t="shared" si="389"/>
        <v>30.48894117647059</v>
      </c>
      <c r="DJ25" s="7">
        <f t="shared" ref="DJ25" si="390">SUM(DJ24+55%)</f>
        <v>30.992941176470588</v>
      </c>
      <c r="DK25" s="7">
        <f t="shared" ref="DK25" si="391">SUM(DK24+55%)</f>
        <v>32.580541176470582</v>
      </c>
      <c r="DL25" s="7">
        <f t="shared" ref="DL25" si="392">SUM(DL24+55%)</f>
        <v>34.406281176470586</v>
      </c>
      <c r="DM25" s="36">
        <f t="shared" ref="DM25:DO25" si="393">SUM(DM24+55%)</f>
        <v>36.505882176470585</v>
      </c>
      <c r="DN25" s="8">
        <f t="shared" si="393"/>
        <v>35.292639999999992</v>
      </c>
      <c r="DO25" s="7">
        <f t="shared" si="393"/>
        <v>36.42961882352941</v>
      </c>
      <c r="DP25" s="7">
        <f t="shared" ref="DP25" si="394">SUM(DP24+55%)</f>
        <v>37.039458823529401</v>
      </c>
      <c r="DQ25" s="7">
        <f t="shared" ref="DQ25" si="395">SUM(DQ24+55%)</f>
        <v>38.960454823529403</v>
      </c>
      <c r="DR25" s="7">
        <f t="shared" ref="DR25" si="396">SUM(DR24+55%)</f>
        <v>40.525474599999995</v>
      </c>
      <c r="DS25" s="36">
        <f t="shared" ref="DS25:DU25" si="397">SUM(DS24+55%)</f>
        <v>42.337882146470584</v>
      </c>
      <c r="DT25" s="8">
        <f t="shared" si="397"/>
        <v>41.911167999999989</v>
      </c>
      <c r="DU25" s="7">
        <f t="shared" si="397"/>
        <v>43.27554258823529</v>
      </c>
      <c r="DV25" s="7">
        <f t="shared" ref="DV25" si="398">SUM(DV24+55%)</f>
        <v>44.007350588235283</v>
      </c>
      <c r="DW25" s="7">
        <f t="shared" ref="DW25" si="399">SUM(DW24+55%)</f>
        <v>45.209732143529408</v>
      </c>
      <c r="DX25" s="7">
        <f t="shared" ref="DX25" si="400">SUM(DX24+55%)</f>
        <v>47.807314773999998</v>
      </c>
      <c r="DY25" s="36">
        <f t="shared" ref="DY25:EA25" si="401">SUM(DY24+55%)</f>
        <v>49.964079754299995</v>
      </c>
      <c r="DZ25" s="8">
        <f t="shared" si="401"/>
        <v>41.911167999999989</v>
      </c>
      <c r="EA25" s="7">
        <f t="shared" si="401"/>
        <v>43.27554258823529</v>
      </c>
      <c r="EB25" s="7">
        <f t="shared" ref="EB25" si="402">SUM(EB24+55%)</f>
        <v>44.007350588235283</v>
      </c>
      <c r="EC25" s="7">
        <f t="shared" ref="EC25" si="403">SUM(EC24+55%)</f>
        <v>45.209732143529408</v>
      </c>
      <c r="ED25" s="7">
        <f t="shared" ref="ED25" si="404">SUM(ED24+55%)</f>
        <v>47.807314773999998</v>
      </c>
      <c r="EE25" s="36">
        <f t="shared" ref="EE25:EG25" si="405">SUM(EE24+55%)</f>
        <v>49.964079754299995</v>
      </c>
      <c r="EF25" s="8">
        <f t="shared" si="405"/>
        <v>30.008941176470589</v>
      </c>
      <c r="EG25" s="7">
        <f t="shared" si="405"/>
        <v>30.48894117647059</v>
      </c>
      <c r="EH25" s="7">
        <f t="shared" ref="EH25" si="406">SUM(EH24+55%)</f>
        <v>30.992941176470588</v>
      </c>
      <c r="EI25" s="7">
        <f t="shared" ref="EI25" si="407">SUM(EI24+55%)</f>
        <v>32.580541176470582</v>
      </c>
      <c r="EJ25" s="7">
        <f t="shared" ref="EJ25" si="408">SUM(EJ24+55%)</f>
        <v>34.406281176470586</v>
      </c>
      <c r="EK25" s="36">
        <f t="shared" ref="EK25:EL25" si="409">SUM(EK24+55%)</f>
        <v>36.505882176470585</v>
      </c>
      <c r="EL25" s="36">
        <f t="shared" si="409"/>
        <v>37.301161290322582</v>
      </c>
      <c r="EM25" s="8">
        <f t="shared" ref="EM25" si="410">SUM(EM24+55%)</f>
        <v>37.494709677419351</v>
      </c>
      <c r="EN25" s="7">
        <f t="shared" ref="EN25" si="411">SUM(EN24+55%)</f>
        <v>38.075354838709671</v>
      </c>
      <c r="EO25" s="7">
        <f t="shared" ref="EO25" si="412">SUM(EO24+55%)</f>
        <v>38.685032258064496</v>
      </c>
      <c r="EP25" s="7">
        <f t="shared" ref="EP25" si="413">SUM(EP24+55%)</f>
        <v>39.965354838709679</v>
      </c>
      <c r="EQ25" s="7">
        <f t="shared" ref="EQ25" si="414">SUM(EQ24+55%)</f>
        <v>41.373709677419356</v>
      </c>
      <c r="ER25" s="36">
        <f t="shared" ref="ER25" si="415">SUM(ER24+55%)</f>
        <v>42.922900000000006</v>
      </c>
      <c r="ES25" s="8">
        <f t="shared" ref="ES25" si="416">SUM(ES24+55%)</f>
        <v>37.494709677419351</v>
      </c>
      <c r="ET25" s="7">
        <f t="shared" ref="ET25" si="417">SUM(ET24+55%)</f>
        <v>38.075354838709671</v>
      </c>
      <c r="EU25" s="7">
        <f t="shared" ref="EU25" si="418">SUM(EU24+55%)</f>
        <v>38.685032258064517</v>
      </c>
      <c r="EV25" s="7">
        <f t="shared" ref="EV25" si="419">SUM(EV24+55%)</f>
        <v>39.965354838709679</v>
      </c>
      <c r="EW25" s="7">
        <f t="shared" ref="EW25" si="420">SUM(EW24+55%)</f>
        <v>41.373709677419356</v>
      </c>
      <c r="EX25" s="36">
        <f t="shared" ref="EX25" si="421">SUM(EX24+55%)</f>
        <v>42.922900000000006</v>
      </c>
      <c r="EY25" s="8">
        <f t="shared" ref="EY25" si="422">SUM(EY24+55%)</f>
        <v>39.043096774193543</v>
      </c>
      <c r="EZ25" s="7">
        <f t="shared" ref="EZ25" si="423">SUM(EZ24+55%)</f>
        <v>39.701161290322574</v>
      </c>
      <c r="FA25" s="7">
        <f t="shared" ref="FA25" si="424">SUM(FA24+55%)</f>
        <v>40.392129032258062</v>
      </c>
      <c r="FB25" s="7">
        <f t="shared" ref="FB25" si="425">SUM(FB24+55%)</f>
        <v>42.568677419354835</v>
      </c>
      <c r="FC25" s="7">
        <f t="shared" ref="FC25" si="426">SUM(FC24+55%)</f>
        <v>45.07170806451613</v>
      </c>
      <c r="FD25" s="36">
        <f t="shared" ref="FD25" si="427">SUM(FD24+55%)</f>
        <v>47.950193306451617</v>
      </c>
    </row>
    <row r="26" spans="2:160" x14ac:dyDescent="0.3">
      <c r="B26" s="2">
        <v>12.000999999999999</v>
      </c>
      <c r="C26" s="3">
        <v>13</v>
      </c>
      <c r="D26" s="8">
        <f>SUM(D25+50%)</f>
        <v>37.607612903225807</v>
      </c>
      <c r="E26" s="7">
        <f>SUM(E25+50%)</f>
        <v>38.168903225806446</v>
      </c>
      <c r="F26" s="7">
        <f t="shared" ref="F26:K26" si="428">SUM(F25+50%)</f>
        <v>38.75825806451612</v>
      </c>
      <c r="G26" s="7">
        <f t="shared" si="428"/>
        <v>39.377080645161278</v>
      </c>
      <c r="H26" s="7">
        <f t="shared" si="428"/>
        <v>40.026844354838708</v>
      </c>
      <c r="I26" s="36">
        <f t="shared" si="428"/>
        <v>40.709096249999995</v>
      </c>
      <c r="J26" s="8">
        <f t="shared" si="428"/>
        <v>37.801161290322582</v>
      </c>
      <c r="K26" s="7">
        <f t="shared" si="428"/>
        <v>38.372129032258059</v>
      </c>
      <c r="L26" s="7">
        <f t="shared" ref="L26" si="429">SUM(L25+50%)</f>
        <v>38.971645161290319</v>
      </c>
      <c r="M26" s="7">
        <f t="shared" ref="M26" si="430">SUM(M25+50%)</f>
        <v>39.601137096774188</v>
      </c>
      <c r="N26" s="7">
        <f t="shared" ref="N26" si="431">SUM(N25+50%)</f>
        <v>40.262103629032261</v>
      </c>
      <c r="O26" s="36">
        <f t="shared" ref="O26:Q26" si="432">SUM(O25+50%)</f>
        <v>40.956118487903225</v>
      </c>
      <c r="P26" s="8">
        <f t="shared" si="432"/>
        <v>37.994709677419351</v>
      </c>
      <c r="Q26" s="7">
        <f t="shared" si="432"/>
        <v>38.575354838709671</v>
      </c>
      <c r="R26" s="7">
        <f t="shared" ref="R26" si="433">SUM(R25+50%)</f>
        <v>39.185032258064517</v>
      </c>
      <c r="S26" s="7">
        <f t="shared" ref="S26" si="434">SUM(S25+50%)</f>
        <v>39.825193548387098</v>
      </c>
      <c r="T26" s="7">
        <f t="shared" ref="T26" si="435">SUM(T25+50%)</f>
        <v>40.497362903225813</v>
      </c>
      <c r="U26" s="36">
        <f t="shared" ref="U26:W26" si="436">SUM(U25+50%)</f>
        <v>41.203140725806456</v>
      </c>
      <c r="V26" s="8">
        <f t="shared" si="436"/>
        <v>37.801161290322582</v>
      </c>
      <c r="W26" s="7">
        <f t="shared" si="436"/>
        <v>38.372129032258059</v>
      </c>
      <c r="X26" s="7">
        <f t="shared" ref="X26" si="437">SUM(X25+50%)</f>
        <v>38.971645161290319</v>
      </c>
      <c r="Y26" s="7">
        <f t="shared" ref="Y26" si="438">SUM(Y25+50%)</f>
        <v>39.601137096774188</v>
      </c>
      <c r="Z26" s="7">
        <f t="shared" ref="Z26" si="439">SUM(Z25+50%)</f>
        <v>40.262103629032261</v>
      </c>
      <c r="AA26" s="36">
        <f t="shared" ref="AA26:AC26" si="440">SUM(AA25+50%)</f>
        <v>40.956118487903225</v>
      </c>
      <c r="AB26" s="8">
        <f t="shared" si="440"/>
        <v>37.994709677419351</v>
      </c>
      <c r="AC26" s="7">
        <f t="shared" si="440"/>
        <v>38.575354838709671</v>
      </c>
      <c r="AD26" s="7">
        <f t="shared" ref="AD26" si="441">SUM(AD25+50%)</f>
        <v>39.185032258064517</v>
      </c>
      <c r="AE26" s="7">
        <f t="shared" ref="AE26" si="442">SUM(AE25+50%)</f>
        <v>39.825193548387098</v>
      </c>
      <c r="AF26" s="7">
        <f t="shared" ref="AF26" si="443">SUM(AF25+50%)</f>
        <v>41.236749193548391</v>
      </c>
      <c r="AG26" s="36">
        <f t="shared" ref="AG26:AI26" si="444">SUM(AG25+50%)</f>
        <v>41.979496330645162</v>
      </c>
      <c r="AH26" s="8">
        <f t="shared" si="444"/>
        <v>37.994709677419351</v>
      </c>
      <c r="AI26" s="7">
        <f t="shared" si="444"/>
        <v>38.575354838709671</v>
      </c>
      <c r="AJ26" s="7">
        <f t="shared" ref="AJ26" si="445">SUM(AJ25+50%)</f>
        <v>39.185032258064517</v>
      </c>
      <c r="AK26" s="7">
        <f t="shared" ref="AK26" si="446">SUM(AK25+50%)</f>
        <v>39.825193548387098</v>
      </c>
      <c r="AL26" s="7">
        <f t="shared" ref="AL26" si="447">SUM(AL25+50%)</f>
        <v>40.497362903225813</v>
      </c>
      <c r="AM26" s="36">
        <f t="shared" ref="AM26:AO26" si="448">SUM(AM25+50%)</f>
        <v>41.203140725806456</v>
      </c>
      <c r="AN26" s="8">
        <f t="shared" si="448"/>
        <v>37.994709677419351</v>
      </c>
      <c r="AO26" s="7">
        <f t="shared" si="448"/>
        <v>38.575354838709671</v>
      </c>
      <c r="AP26" s="7">
        <f t="shared" ref="AP26" si="449">SUM(AP25+50%)</f>
        <v>39.185032258064517</v>
      </c>
      <c r="AQ26" s="7">
        <f t="shared" ref="AQ26" si="450">SUM(AQ25+50%)</f>
        <v>39.825193548387098</v>
      </c>
      <c r="AR26" s="7">
        <f t="shared" ref="AR26" si="451">SUM(AR25+50%)</f>
        <v>40.497362903225813</v>
      </c>
      <c r="AS26" s="36">
        <f t="shared" ref="AS26:AU26" si="452">SUM(AS25+50%)</f>
        <v>41.203140725806456</v>
      </c>
      <c r="AT26" s="8">
        <f t="shared" si="452"/>
        <v>37.801161290322582</v>
      </c>
      <c r="AU26" s="7">
        <f t="shared" si="452"/>
        <v>38.372129032258059</v>
      </c>
      <c r="AV26" s="7">
        <f t="shared" ref="AV26" si="453">SUM(AV25+50%)</f>
        <v>38.971645161290319</v>
      </c>
      <c r="AW26" s="7">
        <f t="shared" ref="AW26" si="454">SUM(AW25+50%)</f>
        <v>39.601137096774188</v>
      </c>
      <c r="AX26" s="7">
        <f t="shared" ref="AX26" si="455">SUM(AX25+50%)</f>
        <v>40.262103629032261</v>
      </c>
      <c r="AY26" s="36">
        <f t="shared" ref="AY26:BA26" si="456">SUM(AY25+50%)</f>
        <v>40.956118487903225</v>
      </c>
      <c r="AZ26" s="8">
        <f t="shared" si="456"/>
        <v>37.801161290322582</v>
      </c>
      <c r="BA26" s="7">
        <f t="shared" si="456"/>
        <v>38.372129032258059</v>
      </c>
      <c r="BB26" s="7">
        <f t="shared" ref="BB26" si="457">SUM(BB25+50%)</f>
        <v>38.971645161290319</v>
      </c>
      <c r="BC26" s="7">
        <f t="shared" ref="BC26" si="458">SUM(BC25+50%)</f>
        <v>39.601137096774188</v>
      </c>
      <c r="BD26" s="7">
        <f t="shared" ref="BD26" si="459">SUM(BD25+50%)</f>
        <v>40.262103629032261</v>
      </c>
      <c r="BE26" s="36">
        <f t="shared" ref="BE26:BG26" si="460">SUM(BE25+50%)</f>
        <v>40.956118487903225</v>
      </c>
      <c r="BF26" s="8">
        <f t="shared" si="460"/>
        <v>37.801161290322582</v>
      </c>
      <c r="BG26" s="7">
        <f t="shared" si="460"/>
        <v>38.372129032258059</v>
      </c>
      <c r="BH26" s="7">
        <f t="shared" ref="BH26" si="461">SUM(BH25+50%)</f>
        <v>38.971645161290319</v>
      </c>
      <c r="BI26" s="7">
        <f t="shared" ref="BI26" si="462">SUM(BI25+50%)</f>
        <v>39.601137096774188</v>
      </c>
      <c r="BJ26" s="7">
        <f t="shared" ref="BJ26" si="463">SUM(BJ25+50%)</f>
        <v>40.262103629032261</v>
      </c>
      <c r="BK26" s="36">
        <f t="shared" ref="BK26:BM26" si="464">SUM(BK25+50%)</f>
        <v>40.956118487903225</v>
      </c>
      <c r="BL26" s="8">
        <f t="shared" si="464"/>
        <v>37.801161290322582</v>
      </c>
      <c r="BM26" s="7">
        <f t="shared" si="464"/>
        <v>38.372129032258059</v>
      </c>
      <c r="BN26" s="7">
        <f t="shared" ref="BN26" si="465">SUM(BN25+50%)</f>
        <v>38.971645161290319</v>
      </c>
      <c r="BO26" s="7">
        <f t="shared" ref="BO26" si="466">SUM(BO25+50%)</f>
        <v>39.601137096774188</v>
      </c>
      <c r="BP26" s="7">
        <f t="shared" ref="BP26" si="467">SUM(BP25+50%)</f>
        <v>40.262103629032261</v>
      </c>
      <c r="BQ26" s="36">
        <f t="shared" ref="BQ26:BS26" si="468">SUM(BQ25+50%)</f>
        <v>40.956118487903225</v>
      </c>
      <c r="BR26" s="8">
        <f t="shared" si="468"/>
        <v>37.801161290322582</v>
      </c>
      <c r="BS26" s="7">
        <f t="shared" si="468"/>
        <v>38.372129032258059</v>
      </c>
      <c r="BT26" s="7">
        <f t="shared" ref="BT26" si="469">SUM(BT25+50%)</f>
        <v>38.971645161290319</v>
      </c>
      <c r="BU26" s="7">
        <f t="shared" ref="BU26" si="470">SUM(BU25+50%)</f>
        <v>39.601137096774188</v>
      </c>
      <c r="BV26" s="7">
        <f t="shared" ref="BV26" si="471">SUM(BV25+50%)</f>
        <v>40.262103629032261</v>
      </c>
      <c r="BW26" s="36">
        <f t="shared" ref="BW26:BY26" si="472">SUM(BW25+50%)</f>
        <v>40.956118487903225</v>
      </c>
      <c r="BX26" s="8">
        <f t="shared" si="472"/>
        <v>37.801161290322582</v>
      </c>
      <c r="BY26" s="7">
        <f t="shared" si="472"/>
        <v>38.372129032258059</v>
      </c>
      <c r="BZ26" s="7">
        <f t="shared" ref="BZ26" si="473">SUM(BZ25+50%)</f>
        <v>38.971645161290319</v>
      </c>
      <c r="CA26" s="7">
        <f t="shared" ref="CA26" si="474">SUM(CA25+50%)</f>
        <v>39.601137096774188</v>
      </c>
      <c r="CB26" s="7">
        <f t="shared" ref="CB26" si="475">SUM(CB25+50%)</f>
        <v>40.262103629032261</v>
      </c>
      <c r="CC26" s="36">
        <f t="shared" ref="CC26:CE26" si="476">SUM(CC25+50%)</f>
        <v>40.956118487903225</v>
      </c>
      <c r="CD26" s="8">
        <f t="shared" si="476"/>
        <v>37.801161290322582</v>
      </c>
      <c r="CE26" s="7">
        <f t="shared" si="476"/>
        <v>38.372129032258059</v>
      </c>
      <c r="CF26" s="7">
        <f t="shared" ref="CF26" si="477">SUM(CF25+50%)</f>
        <v>38.971645161290319</v>
      </c>
      <c r="CG26" s="7">
        <f t="shared" ref="CG26" si="478">SUM(CG25+50%)</f>
        <v>39.601137096774188</v>
      </c>
      <c r="CH26" s="7">
        <f t="shared" ref="CH26" si="479">SUM(CH25+50%)</f>
        <v>40.262103629032261</v>
      </c>
      <c r="CI26" s="36">
        <f t="shared" ref="CI26:CK26" si="480">SUM(CI25+50%)</f>
        <v>40.956118487903225</v>
      </c>
      <c r="CJ26" s="8">
        <f t="shared" si="480"/>
        <v>37.801161290322582</v>
      </c>
      <c r="CK26" s="7">
        <f t="shared" si="480"/>
        <v>38.372129032258059</v>
      </c>
      <c r="CL26" s="7">
        <f t="shared" ref="CL26" si="481">SUM(CL25+50%)</f>
        <v>38.971645161290319</v>
      </c>
      <c r="CM26" s="7">
        <f t="shared" ref="CM26" si="482">SUM(CM25+50%)</f>
        <v>39.601137096774188</v>
      </c>
      <c r="CN26" s="7">
        <f t="shared" ref="CN26" si="483">SUM(CN25+50%)</f>
        <v>40.262103629032261</v>
      </c>
      <c r="CO26" s="36">
        <f t="shared" ref="CO26:CQ26" si="484">SUM(CO25+50%)</f>
        <v>40.956118487903225</v>
      </c>
      <c r="CP26" s="8">
        <f t="shared" si="484"/>
        <v>37.801161290322582</v>
      </c>
      <c r="CQ26" s="7">
        <f t="shared" si="484"/>
        <v>38.372129032258059</v>
      </c>
      <c r="CR26" s="7">
        <f t="shared" ref="CR26" si="485">SUM(CR25+50%)</f>
        <v>38.971645161290319</v>
      </c>
      <c r="CS26" s="7">
        <f t="shared" ref="CS26" si="486">SUM(CS25+50%)</f>
        <v>39.601137096774188</v>
      </c>
      <c r="CT26" s="7">
        <f t="shared" ref="CT26" si="487">SUM(CT25+50%)</f>
        <v>40.262103629032261</v>
      </c>
      <c r="CU26" s="36">
        <f t="shared" ref="CU26:CW26" si="488">SUM(CU25+50%)</f>
        <v>40.956118487903225</v>
      </c>
      <c r="CV26" s="8">
        <f t="shared" si="488"/>
        <v>29.238352941176476</v>
      </c>
      <c r="CW26" s="7">
        <f t="shared" si="488"/>
        <v>29.654823529411765</v>
      </c>
      <c r="CX26" s="7">
        <f t="shared" ref="CX26" si="489">SUM(CX25+50%)</f>
        <v>30.092117647058828</v>
      </c>
      <c r="CY26" s="7">
        <f t="shared" ref="CY26" si="490">SUM(CY25+50%)</f>
        <v>30.551276470588238</v>
      </c>
      <c r="CZ26" s="7">
        <f t="shared" ref="CZ26" si="491">SUM(CZ25+50%)</f>
        <v>31.033393235294124</v>
      </c>
      <c r="DA26" s="36">
        <f t="shared" ref="DA26:DC26" si="492">SUM(DA25+50%)</f>
        <v>31.539615838235299</v>
      </c>
      <c r="DB26" s="8">
        <f t="shared" si="492"/>
        <v>30.508941176470589</v>
      </c>
      <c r="DC26" s="7">
        <f t="shared" si="492"/>
        <v>30.98894117647059</v>
      </c>
      <c r="DD26" s="7">
        <f t="shared" ref="DD26" si="493">SUM(DD25+50%)</f>
        <v>31.492941176470588</v>
      </c>
      <c r="DE26" s="7">
        <f t="shared" ref="DE26" si="494">SUM(DE25+50%)</f>
        <v>33.080541176470582</v>
      </c>
      <c r="DF26" s="7">
        <f t="shared" ref="DF26" si="495">SUM(DF25+50%)</f>
        <v>34.906281176470586</v>
      </c>
      <c r="DG26" s="36">
        <f t="shared" ref="DG26:DI26" si="496">SUM(DG25+50%)</f>
        <v>37.005882176470585</v>
      </c>
      <c r="DH26" s="8">
        <f t="shared" si="496"/>
        <v>30.508941176470589</v>
      </c>
      <c r="DI26" s="7">
        <f t="shared" si="496"/>
        <v>30.98894117647059</v>
      </c>
      <c r="DJ26" s="7">
        <f t="shared" ref="DJ26" si="497">SUM(DJ25+50%)</f>
        <v>31.492941176470588</v>
      </c>
      <c r="DK26" s="7">
        <f t="shared" ref="DK26" si="498">SUM(DK25+50%)</f>
        <v>33.080541176470582</v>
      </c>
      <c r="DL26" s="7">
        <f t="shared" ref="DL26" si="499">SUM(DL25+50%)</f>
        <v>34.906281176470586</v>
      </c>
      <c r="DM26" s="36">
        <f t="shared" ref="DM26:DO26" si="500">SUM(DM25+50%)</f>
        <v>37.005882176470585</v>
      </c>
      <c r="DN26" s="8">
        <f t="shared" si="500"/>
        <v>35.792639999999992</v>
      </c>
      <c r="DO26" s="7">
        <f t="shared" si="500"/>
        <v>36.92961882352941</v>
      </c>
      <c r="DP26" s="7">
        <f t="shared" ref="DP26" si="501">SUM(DP25+50%)</f>
        <v>37.539458823529401</v>
      </c>
      <c r="DQ26" s="7">
        <f t="shared" ref="DQ26" si="502">SUM(DQ25+50%)</f>
        <v>39.460454823529403</v>
      </c>
      <c r="DR26" s="7">
        <f t="shared" ref="DR26" si="503">SUM(DR25+50%)</f>
        <v>41.025474599999995</v>
      </c>
      <c r="DS26" s="36">
        <f t="shared" ref="DS26:DU26" si="504">SUM(DS25+50%)</f>
        <v>42.837882146470584</v>
      </c>
      <c r="DT26" s="8">
        <f t="shared" si="504"/>
        <v>42.411167999999989</v>
      </c>
      <c r="DU26" s="7">
        <f t="shared" si="504"/>
        <v>43.77554258823529</v>
      </c>
      <c r="DV26" s="7">
        <f t="shared" ref="DV26" si="505">SUM(DV25+50%)</f>
        <v>44.507350588235283</v>
      </c>
      <c r="DW26" s="7">
        <f t="shared" ref="DW26" si="506">SUM(DW25+50%)</f>
        <v>45.709732143529408</v>
      </c>
      <c r="DX26" s="7">
        <f t="shared" ref="DX26" si="507">SUM(DX25+50%)</f>
        <v>48.307314773999998</v>
      </c>
      <c r="DY26" s="36">
        <f t="shared" ref="DY26:EA26" si="508">SUM(DY25+50%)</f>
        <v>50.464079754299995</v>
      </c>
      <c r="DZ26" s="8">
        <f t="shared" si="508"/>
        <v>42.411167999999989</v>
      </c>
      <c r="EA26" s="7">
        <f t="shared" si="508"/>
        <v>43.77554258823529</v>
      </c>
      <c r="EB26" s="7">
        <f t="shared" ref="EB26" si="509">SUM(EB25+50%)</f>
        <v>44.507350588235283</v>
      </c>
      <c r="EC26" s="7">
        <f t="shared" ref="EC26" si="510">SUM(EC25+50%)</f>
        <v>45.709732143529408</v>
      </c>
      <c r="ED26" s="7">
        <f t="shared" ref="ED26" si="511">SUM(ED25+50%)</f>
        <v>48.307314773999998</v>
      </c>
      <c r="EE26" s="36">
        <f t="shared" ref="EE26:EG26" si="512">SUM(EE25+50%)</f>
        <v>50.464079754299995</v>
      </c>
      <c r="EF26" s="8">
        <f t="shared" si="512"/>
        <v>30.508941176470589</v>
      </c>
      <c r="EG26" s="7">
        <f t="shared" si="512"/>
        <v>30.98894117647059</v>
      </c>
      <c r="EH26" s="7">
        <f t="shared" ref="EH26" si="513">SUM(EH25+50%)</f>
        <v>31.492941176470588</v>
      </c>
      <c r="EI26" s="7">
        <f t="shared" ref="EI26" si="514">SUM(EI25+50%)</f>
        <v>33.080541176470582</v>
      </c>
      <c r="EJ26" s="7">
        <f t="shared" ref="EJ26" si="515">SUM(EJ25+50%)</f>
        <v>34.906281176470586</v>
      </c>
      <c r="EK26" s="36">
        <f t="shared" ref="EK26:EL26" si="516">SUM(EK25+50%)</f>
        <v>37.005882176470585</v>
      </c>
      <c r="EL26" s="36">
        <f t="shared" si="516"/>
        <v>37.801161290322582</v>
      </c>
      <c r="EM26" s="8">
        <f t="shared" ref="EM26" si="517">SUM(EM25+50%)</f>
        <v>37.994709677419351</v>
      </c>
      <c r="EN26" s="7">
        <f t="shared" ref="EN26" si="518">SUM(EN25+50%)</f>
        <v>38.575354838709671</v>
      </c>
      <c r="EO26" s="7">
        <f t="shared" ref="EO26" si="519">SUM(EO25+50%)</f>
        <v>39.185032258064496</v>
      </c>
      <c r="EP26" s="7">
        <f t="shared" ref="EP26" si="520">SUM(EP25+50%)</f>
        <v>40.465354838709679</v>
      </c>
      <c r="EQ26" s="7">
        <f t="shared" ref="EQ26" si="521">SUM(EQ25+50%)</f>
        <v>41.873709677419356</v>
      </c>
      <c r="ER26" s="36">
        <f t="shared" ref="ER26" si="522">SUM(ER25+50%)</f>
        <v>43.422900000000006</v>
      </c>
      <c r="ES26" s="8">
        <f t="shared" ref="ES26" si="523">SUM(ES25+50%)</f>
        <v>37.994709677419351</v>
      </c>
      <c r="ET26" s="7">
        <f t="shared" ref="ET26" si="524">SUM(ET25+50%)</f>
        <v>38.575354838709671</v>
      </c>
      <c r="EU26" s="7">
        <f t="shared" ref="EU26" si="525">SUM(EU25+50%)</f>
        <v>39.185032258064517</v>
      </c>
      <c r="EV26" s="7">
        <f t="shared" ref="EV26" si="526">SUM(EV25+50%)</f>
        <v>40.465354838709679</v>
      </c>
      <c r="EW26" s="7">
        <f t="shared" ref="EW26" si="527">SUM(EW25+50%)</f>
        <v>41.873709677419356</v>
      </c>
      <c r="EX26" s="36">
        <f t="shared" ref="EX26" si="528">SUM(EX25+50%)</f>
        <v>43.422900000000006</v>
      </c>
      <c r="EY26" s="8">
        <f t="shared" ref="EY26" si="529">SUM(EY25+50%)</f>
        <v>39.543096774193543</v>
      </c>
      <c r="EZ26" s="7">
        <f t="shared" ref="EZ26" si="530">SUM(EZ25+50%)</f>
        <v>40.201161290322574</v>
      </c>
      <c r="FA26" s="7">
        <f t="shared" ref="FA26" si="531">SUM(FA25+50%)</f>
        <v>40.892129032258062</v>
      </c>
      <c r="FB26" s="7">
        <f t="shared" ref="FB26" si="532">SUM(FB25+50%)</f>
        <v>43.068677419354835</v>
      </c>
      <c r="FC26" s="7">
        <f t="shared" ref="FC26" si="533">SUM(FC25+50%)</f>
        <v>45.57170806451613</v>
      </c>
      <c r="FD26" s="36">
        <f t="shared" ref="FD26" si="534">SUM(FD25+50%)</f>
        <v>48.450193306451617</v>
      </c>
    </row>
    <row r="27" spans="2:160" x14ac:dyDescent="0.3">
      <c r="B27" s="2">
        <v>13.000999999999999</v>
      </c>
      <c r="C27" s="3">
        <v>14</v>
      </c>
      <c r="D27" s="8">
        <f>SUM(D26+85%)</f>
        <v>38.457612903225808</v>
      </c>
      <c r="E27" s="7">
        <f>SUM(E26+85%)</f>
        <v>39.018903225806447</v>
      </c>
      <c r="F27" s="7">
        <f t="shared" ref="F27:K27" si="535">SUM(F26+85%)</f>
        <v>39.608258064516122</v>
      </c>
      <c r="G27" s="7">
        <f t="shared" si="535"/>
        <v>40.22708064516128</v>
      </c>
      <c r="H27" s="7">
        <f t="shared" si="535"/>
        <v>40.87684435483871</v>
      </c>
      <c r="I27" s="36">
        <f t="shared" si="535"/>
        <v>41.559096249999996</v>
      </c>
      <c r="J27" s="8">
        <f t="shared" si="535"/>
        <v>38.651161290322584</v>
      </c>
      <c r="K27" s="7">
        <f t="shared" si="535"/>
        <v>39.22212903225806</v>
      </c>
      <c r="L27" s="7">
        <f t="shared" ref="L27" si="536">SUM(L26+85%)</f>
        <v>39.82164516129032</v>
      </c>
      <c r="M27" s="7">
        <f t="shared" ref="M27" si="537">SUM(M26+85%)</f>
        <v>40.45113709677419</v>
      </c>
      <c r="N27" s="7">
        <f t="shared" ref="N27" si="538">SUM(N26+85%)</f>
        <v>41.112103629032262</v>
      </c>
      <c r="O27" s="36">
        <f t="shared" ref="O27:Q27" si="539">SUM(O26+85%)</f>
        <v>41.806118487903227</v>
      </c>
      <c r="P27" s="8">
        <f t="shared" si="539"/>
        <v>38.844709677419353</v>
      </c>
      <c r="Q27" s="7">
        <f t="shared" si="539"/>
        <v>39.425354838709673</v>
      </c>
      <c r="R27" s="7">
        <f t="shared" ref="R27" si="540">SUM(R26+85%)</f>
        <v>40.035032258064518</v>
      </c>
      <c r="S27" s="7">
        <f t="shared" ref="S27" si="541">SUM(S26+85%)</f>
        <v>40.675193548387099</v>
      </c>
      <c r="T27" s="7">
        <f t="shared" ref="T27" si="542">SUM(T26+85%)</f>
        <v>41.347362903225815</v>
      </c>
      <c r="U27" s="36">
        <f t="shared" ref="U27:W27" si="543">SUM(U26+85%)</f>
        <v>42.053140725806458</v>
      </c>
      <c r="V27" s="8">
        <f t="shared" si="543"/>
        <v>38.651161290322584</v>
      </c>
      <c r="W27" s="7">
        <f t="shared" si="543"/>
        <v>39.22212903225806</v>
      </c>
      <c r="X27" s="7">
        <f t="shared" ref="X27" si="544">SUM(X26+85%)</f>
        <v>39.82164516129032</v>
      </c>
      <c r="Y27" s="7">
        <f t="shared" ref="Y27" si="545">SUM(Y26+85%)</f>
        <v>40.45113709677419</v>
      </c>
      <c r="Z27" s="7">
        <f t="shared" ref="Z27" si="546">SUM(Z26+85%)</f>
        <v>41.112103629032262</v>
      </c>
      <c r="AA27" s="36">
        <f t="shared" ref="AA27:AC27" si="547">SUM(AA26+85%)</f>
        <v>41.806118487903227</v>
      </c>
      <c r="AB27" s="8">
        <f t="shared" si="547"/>
        <v>38.844709677419353</v>
      </c>
      <c r="AC27" s="7">
        <f t="shared" si="547"/>
        <v>39.425354838709673</v>
      </c>
      <c r="AD27" s="7">
        <f t="shared" ref="AD27" si="548">SUM(AD26+85%)</f>
        <v>40.035032258064518</v>
      </c>
      <c r="AE27" s="7">
        <f t="shared" ref="AE27" si="549">SUM(AE26+85%)</f>
        <v>40.675193548387099</v>
      </c>
      <c r="AF27" s="7">
        <f t="shared" ref="AF27" si="550">SUM(AF26+85%)</f>
        <v>42.086749193548393</v>
      </c>
      <c r="AG27" s="36">
        <f t="shared" ref="AG27:AI27" si="551">SUM(AG26+85%)</f>
        <v>42.829496330645163</v>
      </c>
      <c r="AH27" s="8">
        <f t="shared" si="551"/>
        <v>38.844709677419353</v>
      </c>
      <c r="AI27" s="7">
        <f t="shared" si="551"/>
        <v>39.425354838709673</v>
      </c>
      <c r="AJ27" s="7">
        <f t="shared" ref="AJ27" si="552">SUM(AJ26+85%)</f>
        <v>40.035032258064518</v>
      </c>
      <c r="AK27" s="7">
        <f t="shared" ref="AK27" si="553">SUM(AK26+85%)</f>
        <v>40.675193548387099</v>
      </c>
      <c r="AL27" s="7">
        <f t="shared" ref="AL27" si="554">SUM(AL26+85%)</f>
        <v>41.347362903225815</v>
      </c>
      <c r="AM27" s="36">
        <f t="shared" ref="AM27:AO27" si="555">SUM(AM26+85%)</f>
        <v>42.053140725806458</v>
      </c>
      <c r="AN27" s="8">
        <f t="shared" si="555"/>
        <v>38.844709677419353</v>
      </c>
      <c r="AO27" s="7">
        <f t="shared" si="555"/>
        <v>39.425354838709673</v>
      </c>
      <c r="AP27" s="7">
        <f t="shared" ref="AP27" si="556">SUM(AP26+85%)</f>
        <v>40.035032258064518</v>
      </c>
      <c r="AQ27" s="7">
        <f t="shared" ref="AQ27" si="557">SUM(AQ26+85%)</f>
        <v>40.675193548387099</v>
      </c>
      <c r="AR27" s="7">
        <f t="shared" ref="AR27" si="558">SUM(AR26+85%)</f>
        <v>41.347362903225815</v>
      </c>
      <c r="AS27" s="36">
        <f t="shared" ref="AS27:AU27" si="559">SUM(AS26+85%)</f>
        <v>42.053140725806458</v>
      </c>
      <c r="AT27" s="8">
        <f t="shared" si="559"/>
        <v>38.651161290322584</v>
      </c>
      <c r="AU27" s="7">
        <f t="shared" si="559"/>
        <v>39.22212903225806</v>
      </c>
      <c r="AV27" s="7">
        <f t="shared" ref="AV27" si="560">SUM(AV26+85%)</f>
        <v>39.82164516129032</v>
      </c>
      <c r="AW27" s="7">
        <f t="shared" ref="AW27" si="561">SUM(AW26+85%)</f>
        <v>40.45113709677419</v>
      </c>
      <c r="AX27" s="7">
        <f t="shared" ref="AX27" si="562">SUM(AX26+85%)</f>
        <v>41.112103629032262</v>
      </c>
      <c r="AY27" s="36">
        <f t="shared" ref="AY27:BA27" si="563">SUM(AY26+85%)</f>
        <v>41.806118487903227</v>
      </c>
      <c r="AZ27" s="8">
        <f t="shared" si="563"/>
        <v>38.651161290322584</v>
      </c>
      <c r="BA27" s="7">
        <f t="shared" si="563"/>
        <v>39.22212903225806</v>
      </c>
      <c r="BB27" s="7">
        <f t="shared" ref="BB27" si="564">SUM(BB26+85%)</f>
        <v>39.82164516129032</v>
      </c>
      <c r="BC27" s="7">
        <f t="shared" ref="BC27" si="565">SUM(BC26+85%)</f>
        <v>40.45113709677419</v>
      </c>
      <c r="BD27" s="7">
        <f t="shared" ref="BD27" si="566">SUM(BD26+85%)</f>
        <v>41.112103629032262</v>
      </c>
      <c r="BE27" s="36">
        <f t="shared" ref="BE27:BG27" si="567">SUM(BE26+85%)</f>
        <v>41.806118487903227</v>
      </c>
      <c r="BF27" s="8">
        <f t="shared" si="567"/>
        <v>38.651161290322584</v>
      </c>
      <c r="BG27" s="7">
        <f t="shared" si="567"/>
        <v>39.22212903225806</v>
      </c>
      <c r="BH27" s="7">
        <f t="shared" ref="BH27" si="568">SUM(BH26+85%)</f>
        <v>39.82164516129032</v>
      </c>
      <c r="BI27" s="7">
        <f t="shared" ref="BI27" si="569">SUM(BI26+85%)</f>
        <v>40.45113709677419</v>
      </c>
      <c r="BJ27" s="7">
        <f t="shared" ref="BJ27" si="570">SUM(BJ26+85%)</f>
        <v>41.112103629032262</v>
      </c>
      <c r="BK27" s="36">
        <f t="shared" ref="BK27:BM27" si="571">SUM(BK26+85%)</f>
        <v>41.806118487903227</v>
      </c>
      <c r="BL27" s="8">
        <f t="shared" si="571"/>
        <v>38.651161290322584</v>
      </c>
      <c r="BM27" s="7">
        <f t="shared" si="571"/>
        <v>39.22212903225806</v>
      </c>
      <c r="BN27" s="7">
        <f t="shared" ref="BN27" si="572">SUM(BN26+85%)</f>
        <v>39.82164516129032</v>
      </c>
      <c r="BO27" s="7">
        <f t="shared" ref="BO27" si="573">SUM(BO26+85%)</f>
        <v>40.45113709677419</v>
      </c>
      <c r="BP27" s="7">
        <f t="shared" ref="BP27" si="574">SUM(BP26+85%)</f>
        <v>41.112103629032262</v>
      </c>
      <c r="BQ27" s="36">
        <f t="shared" ref="BQ27:BS27" si="575">SUM(BQ26+85%)</f>
        <v>41.806118487903227</v>
      </c>
      <c r="BR27" s="8">
        <f t="shared" si="575"/>
        <v>38.651161290322584</v>
      </c>
      <c r="BS27" s="7">
        <f t="shared" si="575"/>
        <v>39.22212903225806</v>
      </c>
      <c r="BT27" s="7">
        <f t="shared" ref="BT27" si="576">SUM(BT26+85%)</f>
        <v>39.82164516129032</v>
      </c>
      <c r="BU27" s="7">
        <f t="shared" ref="BU27" si="577">SUM(BU26+85%)</f>
        <v>40.45113709677419</v>
      </c>
      <c r="BV27" s="7">
        <f t="shared" ref="BV27" si="578">SUM(BV26+85%)</f>
        <v>41.112103629032262</v>
      </c>
      <c r="BW27" s="36">
        <f t="shared" ref="BW27:BY27" si="579">SUM(BW26+85%)</f>
        <v>41.806118487903227</v>
      </c>
      <c r="BX27" s="8">
        <f t="shared" si="579"/>
        <v>38.651161290322584</v>
      </c>
      <c r="BY27" s="7">
        <f t="shared" si="579"/>
        <v>39.22212903225806</v>
      </c>
      <c r="BZ27" s="7">
        <f t="shared" ref="BZ27" si="580">SUM(BZ26+85%)</f>
        <v>39.82164516129032</v>
      </c>
      <c r="CA27" s="7">
        <f t="shared" ref="CA27" si="581">SUM(CA26+85%)</f>
        <v>40.45113709677419</v>
      </c>
      <c r="CB27" s="7">
        <f t="shared" ref="CB27" si="582">SUM(CB26+85%)</f>
        <v>41.112103629032262</v>
      </c>
      <c r="CC27" s="36">
        <f t="shared" ref="CC27:CE27" si="583">SUM(CC26+85%)</f>
        <v>41.806118487903227</v>
      </c>
      <c r="CD27" s="8">
        <f t="shared" si="583"/>
        <v>38.651161290322584</v>
      </c>
      <c r="CE27" s="7">
        <f t="shared" si="583"/>
        <v>39.22212903225806</v>
      </c>
      <c r="CF27" s="7">
        <f t="shared" ref="CF27" si="584">SUM(CF26+85%)</f>
        <v>39.82164516129032</v>
      </c>
      <c r="CG27" s="7">
        <f t="shared" ref="CG27" si="585">SUM(CG26+85%)</f>
        <v>40.45113709677419</v>
      </c>
      <c r="CH27" s="7">
        <f t="shared" ref="CH27" si="586">SUM(CH26+85%)</f>
        <v>41.112103629032262</v>
      </c>
      <c r="CI27" s="36">
        <f t="shared" ref="CI27:CK27" si="587">SUM(CI26+85%)</f>
        <v>41.806118487903227</v>
      </c>
      <c r="CJ27" s="8">
        <f t="shared" si="587"/>
        <v>38.651161290322584</v>
      </c>
      <c r="CK27" s="7">
        <f t="shared" si="587"/>
        <v>39.22212903225806</v>
      </c>
      <c r="CL27" s="7">
        <f t="shared" ref="CL27" si="588">SUM(CL26+85%)</f>
        <v>39.82164516129032</v>
      </c>
      <c r="CM27" s="7">
        <f t="shared" ref="CM27" si="589">SUM(CM26+85%)</f>
        <v>40.45113709677419</v>
      </c>
      <c r="CN27" s="7">
        <f t="shared" ref="CN27" si="590">SUM(CN26+85%)</f>
        <v>41.112103629032262</v>
      </c>
      <c r="CO27" s="36">
        <f t="shared" ref="CO27:CQ27" si="591">SUM(CO26+85%)</f>
        <v>41.806118487903227</v>
      </c>
      <c r="CP27" s="8">
        <f t="shared" si="591"/>
        <v>38.651161290322584</v>
      </c>
      <c r="CQ27" s="7">
        <f t="shared" si="591"/>
        <v>39.22212903225806</v>
      </c>
      <c r="CR27" s="7">
        <f t="shared" ref="CR27" si="592">SUM(CR26+85%)</f>
        <v>39.82164516129032</v>
      </c>
      <c r="CS27" s="7">
        <f t="shared" ref="CS27" si="593">SUM(CS26+85%)</f>
        <v>40.45113709677419</v>
      </c>
      <c r="CT27" s="7">
        <f t="shared" ref="CT27" si="594">SUM(CT26+85%)</f>
        <v>41.112103629032262</v>
      </c>
      <c r="CU27" s="36">
        <f t="shared" ref="CU27:CW27" si="595">SUM(CU26+85%)</f>
        <v>41.806118487903227</v>
      </c>
      <c r="CV27" s="8">
        <f t="shared" si="595"/>
        <v>30.088352941176478</v>
      </c>
      <c r="CW27" s="7">
        <f t="shared" si="595"/>
        <v>30.504823529411766</v>
      </c>
      <c r="CX27" s="7">
        <f t="shared" ref="CX27" si="596">SUM(CX26+85%)</f>
        <v>30.942117647058829</v>
      </c>
      <c r="CY27" s="7">
        <f t="shared" ref="CY27" si="597">SUM(CY26+85%)</f>
        <v>31.40127647058824</v>
      </c>
      <c r="CZ27" s="7">
        <f t="shared" ref="CZ27" si="598">SUM(CZ26+85%)</f>
        <v>31.883393235294125</v>
      </c>
      <c r="DA27" s="36">
        <f t="shared" ref="DA27:DC27" si="599">SUM(DA26+85%)</f>
        <v>32.389615838235301</v>
      </c>
      <c r="DB27" s="8">
        <f t="shared" si="599"/>
        <v>31.358941176470591</v>
      </c>
      <c r="DC27" s="7">
        <f t="shared" si="599"/>
        <v>31.838941176470591</v>
      </c>
      <c r="DD27" s="7">
        <f t="shared" ref="DD27" si="600">SUM(DD26+85%)</f>
        <v>32.342941176470589</v>
      </c>
      <c r="DE27" s="7">
        <f t="shared" ref="DE27" si="601">SUM(DE26+85%)</f>
        <v>33.930541176470584</v>
      </c>
      <c r="DF27" s="7">
        <f t="shared" ref="DF27" si="602">SUM(DF26+85%)</f>
        <v>35.756281176470587</v>
      </c>
      <c r="DG27" s="36">
        <f t="shared" ref="DG27:DI27" si="603">SUM(DG26+85%)</f>
        <v>37.855882176470587</v>
      </c>
      <c r="DH27" s="8">
        <f t="shared" si="603"/>
        <v>31.358941176470591</v>
      </c>
      <c r="DI27" s="7">
        <f t="shared" si="603"/>
        <v>31.838941176470591</v>
      </c>
      <c r="DJ27" s="7">
        <f t="shared" ref="DJ27" si="604">SUM(DJ26+85%)</f>
        <v>32.342941176470589</v>
      </c>
      <c r="DK27" s="7">
        <f t="shared" ref="DK27" si="605">SUM(DK26+85%)</f>
        <v>33.930541176470584</v>
      </c>
      <c r="DL27" s="7">
        <f t="shared" ref="DL27" si="606">SUM(DL26+85%)</f>
        <v>35.756281176470587</v>
      </c>
      <c r="DM27" s="36">
        <f t="shared" ref="DM27:DO27" si="607">SUM(DM26+85%)</f>
        <v>37.855882176470587</v>
      </c>
      <c r="DN27" s="8">
        <f t="shared" si="607"/>
        <v>36.642639999999993</v>
      </c>
      <c r="DO27" s="7">
        <f t="shared" si="607"/>
        <v>37.779618823529411</v>
      </c>
      <c r="DP27" s="7">
        <f t="shared" ref="DP27" si="608">SUM(DP26+85%)</f>
        <v>38.389458823529402</v>
      </c>
      <c r="DQ27" s="7">
        <f t="shared" ref="DQ27" si="609">SUM(DQ26+85%)</f>
        <v>40.310454823529405</v>
      </c>
      <c r="DR27" s="7">
        <f t="shared" ref="DR27" si="610">SUM(DR26+85%)</f>
        <v>41.875474599999997</v>
      </c>
      <c r="DS27" s="36">
        <f t="shared" ref="DS27:DU27" si="611">SUM(DS26+85%)</f>
        <v>43.687882146470585</v>
      </c>
      <c r="DT27" s="8">
        <f t="shared" si="611"/>
        <v>43.261167999999991</v>
      </c>
      <c r="DU27" s="7">
        <f t="shared" si="611"/>
        <v>44.625542588235291</v>
      </c>
      <c r="DV27" s="7">
        <f t="shared" ref="DV27" si="612">SUM(DV26+85%)</f>
        <v>45.357350588235285</v>
      </c>
      <c r="DW27" s="7">
        <f t="shared" ref="DW27" si="613">SUM(DW26+85%)</f>
        <v>46.559732143529409</v>
      </c>
      <c r="DX27" s="7">
        <f t="shared" ref="DX27" si="614">SUM(DX26+85%)</f>
        <v>49.157314774</v>
      </c>
      <c r="DY27" s="36">
        <f t="shared" ref="DY27:EA27" si="615">SUM(DY26+85%)</f>
        <v>51.314079754299996</v>
      </c>
      <c r="DZ27" s="8">
        <f t="shared" si="615"/>
        <v>43.261167999999991</v>
      </c>
      <c r="EA27" s="7">
        <f t="shared" si="615"/>
        <v>44.625542588235291</v>
      </c>
      <c r="EB27" s="7">
        <f t="shared" ref="EB27" si="616">SUM(EB26+85%)</f>
        <v>45.357350588235285</v>
      </c>
      <c r="EC27" s="7">
        <f t="shared" ref="EC27" si="617">SUM(EC26+85%)</f>
        <v>46.559732143529409</v>
      </c>
      <c r="ED27" s="7">
        <f t="shared" ref="ED27" si="618">SUM(ED26+85%)</f>
        <v>49.157314774</v>
      </c>
      <c r="EE27" s="36">
        <f t="shared" ref="EE27:EG27" si="619">SUM(EE26+85%)</f>
        <v>51.314079754299996</v>
      </c>
      <c r="EF27" s="8">
        <f t="shared" si="619"/>
        <v>31.358941176470591</v>
      </c>
      <c r="EG27" s="7">
        <f t="shared" si="619"/>
        <v>31.838941176470591</v>
      </c>
      <c r="EH27" s="7">
        <f t="shared" ref="EH27" si="620">SUM(EH26+85%)</f>
        <v>32.342941176470589</v>
      </c>
      <c r="EI27" s="7">
        <f t="shared" ref="EI27" si="621">SUM(EI26+85%)</f>
        <v>33.930541176470584</v>
      </c>
      <c r="EJ27" s="7">
        <f t="shared" ref="EJ27" si="622">SUM(EJ26+85%)</f>
        <v>35.756281176470587</v>
      </c>
      <c r="EK27" s="36">
        <f t="shared" ref="EK27:EL27" si="623">SUM(EK26+85%)</f>
        <v>37.855882176470587</v>
      </c>
      <c r="EL27" s="36">
        <f t="shared" si="623"/>
        <v>38.651161290322584</v>
      </c>
      <c r="EM27" s="8">
        <f t="shared" ref="EM27" si="624">SUM(EM26+85%)</f>
        <v>38.844709677419353</v>
      </c>
      <c r="EN27" s="7">
        <f t="shared" ref="EN27" si="625">SUM(EN26+85%)</f>
        <v>39.425354838709673</v>
      </c>
      <c r="EO27" s="7">
        <f t="shared" ref="EO27" si="626">SUM(EO26+85%)</f>
        <v>40.035032258064497</v>
      </c>
      <c r="EP27" s="7">
        <f t="shared" ref="EP27" si="627">SUM(EP26+85%)</f>
        <v>41.315354838709681</v>
      </c>
      <c r="EQ27" s="7">
        <f t="shared" ref="EQ27" si="628">SUM(EQ26+85%)</f>
        <v>42.723709677419357</v>
      </c>
      <c r="ER27" s="36">
        <f t="shared" ref="ER27" si="629">SUM(ER26+85%)</f>
        <v>44.272900000000007</v>
      </c>
      <c r="ES27" s="8">
        <f t="shared" ref="ES27" si="630">SUM(ES26+85%)</f>
        <v>38.844709677419353</v>
      </c>
      <c r="ET27" s="7">
        <f t="shared" ref="ET27" si="631">SUM(ET26+85%)</f>
        <v>39.425354838709673</v>
      </c>
      <c r="EU27" s="7">
        <f t="shared" ref="EU27" si="632">SUM(EU26+85%)</f>
        <v>40.035032258064518</v>
      </c>
      <c r="EV27" s="7">
        <f t="shared" ref="EV27" si="633">SUM(EV26+85%)</f>
        <v>41.315354838709681</v>
      </c>
      <c r="EW27" s="7">
        <f t="shared" ref="EW27" si="634">SUM(EW26+85%)</f>
        <v>42.723709677419357</v>
      </c>
      <c r="EX27" s="36">
        <f t="shared" ref="EX27" si="635">SUM(EX26+85%)</f>
        <v>44.272900000000007</v>
      </c>
      <c r="EY27" s="8">
        <f t="shared" ref="EY27" si="636">SUM(EY26+85%)</f>
        <v>40.393096774193545</v>
      </c>
      <c r="EZ27" s="7">
        <f t="shared" ref="EZ27" si="637">SUM(EZ26+85%)</f>
        <v>41.051161290322575</v>
      </c>
      <c r="FA27" s="7">
        <f t="shared" ref="FA27" si="638">SUM(FA26+85%)</f>
        <v>41.742129032258063</v>
      </c>
      <c r="FB27" s="7">
        <f t="shared" ref="FB27" si="639">SUM(FB26+85%)</f>
        <v>43.918677419354836</v>
      </c>
      <c r="FC27" s="7">
        <f t="shared" ref="FC27" si="640">SUM(FC26+85%)</f>
        <v>46.421708064516132</v>
      </c>
      <c r="FD27" s="36">
        <f t="shared" ref="FD27" si="641">SUM(FD26+85%)</f>
        <v>49.300193306451618</v>
      </c>
    </row>
    <row r="28" spans="2:160" x14ac:dyDescent="0.3">
      <c r="B28" s="2">
        <v>14.000999999999999</v>
      </c>
      <c r="C28" s="3">
        <v>15</v>
      </c>
      <c r="D28" s="8">
        <f>SUM(D27+25%)</f>
        <v>38.707612903225808</v>
      </c>
      <c r="E28" s="7">
        <f>SUM(E27+25%)</f>
        <v>39.268903225806447</v>
      </c>
      <c r="F28" s="7">
        <f t="shared" ref="F28:K28" si="642">SUM(F27+25%)</f>
        <v>39.858258064516122</v>
      </c>
      <c r="G28" s="7">
        <f t="shared" si="642"/>
        <v>40.47708064516128</v>
      </c>
      <c r="H28" s="7">
        <f t="shared" si="642"/>
        <v>41.12684435483871</v>
      </c>
      <c r="I28" s="36">
        <f t="shared" si="642"/>
        <v>41.809096249999996</v>
      </c>
      <c r="J28" s="8">
        <f t="shared" si="642"/>
        <v>38.901161290322584</v>
      </c>
      <c r="K28" s="7">
        <f t="shared" si="642"/>
        <v>39.47212903225806</v>
      </c>
      <c r="L28" s="7">
        <f t="shared" ref="L28" si="643">SUM(L27+25%)</f>
        <v>40.07164516129032</v>
      </c>
      <c r="M28" s="7">
        <f t="shared" ref="M28" si="644">SUM(M27+25%)</f>
        <v>40.70113709677419</v>
      </c>
      <c r="N28" s="7">
        <f t="shared" ref="N28" si="645">SUM(N27+25%)</f>
        <v>41.362103629032262</v>
      </c>
      <c r="O28" s="36">
        <f t="shared" ref="O28:Q28" si="646">SUM(O27+25%)</f>
        <v>42.056118487903227</v>
      </c>
      <c r="P28" s="8">
        <f t="shared" si="646"/>
        <v>39.094709677419353</v>
      </c>
      <c r="Q28" s="7">
        <f t="shared" si="646"/>
        <v>39.675354838709673</v>
      </c>
      <c r="R28" s="7">
        <f t="shared" ref="R28" si="647">SUM(R27+25%)</f>
        <v>40.285032258064518</v>
      </c>
      <c r="S28" s="7">
        <f t="shared" ref="S28" si="648">SUM(S27+25%)</f>
        <v>40.925193548387099</v>
      </c>
      <c r="T28" s="7">
        <f t="shared" ref="T28" si="649">SUM(T27+25%)</f>
        <v>41.597362903225815</v>
      </c>
      <c r="U28" s="36">
        <f t="shared" ref="U28:W28" si="650">SUM(U27+25%)</f>
        <v>42.303140725806458</v>
      </c>
      <c r="V28" s="8">
        <f t="shared" si="650"/>
        <v>38.901161290322584</v>
      </c>
      <c r="W28" s="7">
        <f t="shared" si="650"/>
        <v>39.47212903225806</v>
      </c>
      <c r="X28" s="7">
        <f t="shared" ref="X28" si="651">SUM(X27+25%)</f>
        <v>40.07164516129032</v>
      </c>
      <c r="Y28" s="7">
        <f t="shared" ref="Y28" si="652">SUM(Y27+25%)</f>
        <v>40.70113709677419</v>
      </c>
      <c r="Z28" s="7">
        <f t="shared" ref="Z28" si="653">SUM(Z27+25%)</f>
        <v>41.362103629032262</v>
      </c>
      <c r="AA28" s="36">
        <f t="shared" ref="AA28:AC28" si="654">SUM(AA27+25%)</f>
        <v>42.056118487903227</v>
      </c>
      <c r="AB28" s="8">
        <f t="shared" si="654"/>
        <v>39.094709677419353</v>
      </c>
      <c r="AC28" s="7">
        <f t="shared" si="654"/>
        <v>39.675354838709673</v>
      </c>
      <c r="AD28" s="7">
        <f t="shared" ref="AD28" si="655">SUM(AD27+25%)</f>
        <v>40.285032258064518</v>
      </c>
      <c r="AE28" s="7">
        <f t="shared" ref="AE28" si="656">SUM(AE27+25%)</f>
        <v>40.925193548387099</v>
      </c>
      <c r="AF28" s="7">
        <f t="shared" ref="AF28" si="657">SUM(AF27+25%)</f>
        <v>42.336749193548393</v>
      </c>
      <c r="AG28" s="36">
        <f t="shared" ref="AG28:AI28" si="658">SUM(AG27+25%)</f>
        <v>43.079496330645163</v>
      </c>
      <c r="AH28" s="8">
        <f t="shared" si="658"/>
        <v>39.094709677419353</v>
      </c>
      <c r="AI28" s="7">
        <f t="shared" si="658"/>
        <v>39.675354838709673</v>
      </c>
      <c r="AJ28" s="7">
        <f t="shared" ref="AJ28" si="659">SUM(AJ27+25%)</f>
        <v>40.285032258064518</v>
      </c>
      <c r="AK28" s="7">
        <f t="shared" ref="AK28" si="660">SUM(AK27+25%)</f>
        <v>40.925193548387099</v>
      </c>
      <c r="AL28" s="7">
        <f t="shared" ref="AL28" si="661">SUM(AL27+25%)</f>
        <v>41.597362903225815</v>
      </c>
      <c r="AM28" s="36">
        <f t="shared" ref="AM28:AO28" si="662">SUM(AM27+25%)</f>
        <v>42.303140725806458</v>
      </c>
      <c r="AN28" s="8">
        <f t="shared" si="662"/>
        <v>39.094709677419353</v>
      </c>
      <c r="AO28" s="7">
        <f t="shared" si="662"/>
        <v>39.675354838709673</v>
      </c>
      <c r="AP28" s="7">
        <f t="shared" ref="AP28" si="663">SUM(AP27+25%)</f>
        <v>40.285032258064518</v>
      </c>
      <c r="AQ28" s="7">
        <f t="shared" ref="AQ28" si="664">SUM(AQ27+25%)</f>
        <v>40.925193548387099</v>
      </c>
      <c r="AR28" s="7">
        <f t="shared" ref="AR28" si="665">SUM(AR27+25%)</f>
        <v>41.597362903225815</v>
      </c>
      <c r="AS28" s="36">
        <f t="shared" ref="AS28:AU28" si="666">SUM(AS27+25%)</f>
        <v>42.303140725806458</v>
      </c>
      <c r="AT28" s="8">
        <f t="shared" si="666"/>
        <v>38.901161290322584</v>
      </c>
      <c r="AU28" s="7">
        <f t="shared" si="666"/>
        <v>39.47212903225806</v>
      </c>
      <c r="AV28" s="7">
        <f t="shared" ref="AV28" si="667">SUM(AV27+25%)</f>
        <v>40.07164516129032</v>
      </c>
      <c r="AW28" s="7">
        <f t="shared" ref="AW28" si="668">SUM(AW27+25%)</f>
        <v>40.70113709677419</v>
      </c>
      <c r="AX28" s="7">
        <f t="shared" ref="AX28" si="669">SUM(AX27+25%)</f>
        <v>41.362103629032262</v>
      </c>
      <c r="AY28" s="36">
        <f t="shared" ref="AY28:BA28" si="670">SUM(AY27+25%)</f>
        <v>42.056118487903227</v>
      </c>
      <c r="AZ28" s="8">
        <f t="shared" si="670"/>
        <v>38.901161290322584</v>
      </c>
      <c r="BA28" s="7">
        <f t="shared" si="670"/>
        <v>39.47212903225806</v>
      </c>
      <c r="BB28" s="7">
        <f t="shared" ref="BB28" si="671">SUM(BB27+25%)</f>
        <v>40.07164516129032</v>
      </c>
      <c r="BC28" s="7">
        <f t="shared" ref="BC28" si="672">SUM(BC27+25%)</f>
        <v>40.70113709677419</v>
      </c>
      <c r="BD28" s="7">
        <f t="shared" ref="BD28" si="673">SUM(BD27+25%)</f>
        <v>41.362103629032262</v>
      </c>
      <c r="BE28" s="36">
        <f t="shared" ref="BE28:BG28" si="674">SUM(BE27+25%)</f>
        <v>42.056118487903227</v>
      </c>
      <c r="BF28" s="8">
        <f t="shared" si="674"/>
        <v>38.901161290322584</v>
      </c>
      <c r="BG28" s="7">
        <f t="shared" si="674"/>
        <v>39.47212903225806</v>
      </c>
      <c r="BH28" s="7">
        <f t="shared" ref="BH28" si="675">SUM(BH27+25%)</f>
        <v>40.07164516129032</v>
      </c>
      <c r="BI28" s="7">
        <f t="shared" ref="BI28" si="676">SUM(BI27+25%)</f>
        <v>40.70113709677419</v>
      </c>
      <c r="BJ28" s="7">
        <f t="shared" ref="BJ28" si="677">SUM(BJ27+25%)</f>
        <v>41.362103629032262</v>
      </c>
      <c r="BK28" s="36">
        <f t="shared" ref="BK28:BM28" si="678">SUM(BK27+25%)</f>
        <v>42.056118487903227</v>
      </c>
      <c r="BL28" s="8">
        <f t="shared" si="678"/>
        <v>38.901161290322584</v>
      </c>
      <c r="BM28" s="7">
        <f t="shared" si="678"/>
        <v>39.47212903225806</v>
      </c>
      <c r="BN28" s="7">
        <f t="shared" ref="BN28" si="679">SUM(BN27+25%)</f>
        <v>40.07164516129032</v>
      </c>
      <c r="BO28" s="7">
        <f t="shared" ref="BO28" si="680">SUM(BO27+25%)</f>
        <v>40.70113709677419</v>
      </c>
      <c r="BP28" s="7">
        <f t="shared" ref="BP28" si="681">SUM(BP27+25%)</f>
        <v>41.362103629032262</v>
      </c>
      <c r="BQ28" s="36">
        <f t="shared" ref="BQ28:BS28" si="682">SUM(BQ27+25%)</f>
        <v>42.056118487903227</v>
      </c>
      <c r="BR28" s="8">
        <f t="shared" si="682"/>
        <v>38.901161290322584</v>
      </c>
      <c r="BS28" s="7">
        <f t="shared" si="682"/>
        <v>39.47212903225806</v>
      </c>
      <c r="BT28" s="7">
        <f t="shared" ref="BT28" si="683">SUM(BT27+25%)</f>
        <v>40.07164516129032</v>
      </c>
      <c r="BU28" s="7">
        <f t="shared" ref="BU28" si="684">SUM(BU27+25%)</f>
        <v>40.70113709677419</v>
      </c>
      <c r="BV28" s="7">
        <f t="shared" ref="BV28" si="685">SUM(BV27+25%)</f>
        <v>41.362103629032262</v>
      </c>
      <c r="BW28" s="36">
        <f t="shared" ref="BW28:BY28" si="686">SUM(BW27+25%)</f>
        <v>42.056118487903227</v>
      </c>
      <c r="BX28" s="8">
        <f t="shared" si="686"/>
        <v>38.901161290322584</v>
      </c>
      <c r="BY28" s="7">
        <f t="shared" si="686"/>
        <v>39.47212903225806</v>
      </c>
      <c r="BZ28" s="7">
        <f t="shared" ref="BZ28" si="687">SUM(BZ27+25%)</f>
        <v>40.07164516129032</v>
      </c>
      <c r="CA28" s="7">
        <f t="shared" ref="CA28" si="688">SUM(CA27+25%)</f>
        <v>40.70113709677419</v>
      </c>
      <c r="CB28" s="7">
        <f t="shared" ref="CB28" si="689">SUM(CB27+25%)</f>
        <v>41.362103629032262</v>
      </c>
      <c r="CC28" s="36">
        <f t="shared" ref="CC28:CE28" si="690">SUM(CC27+25%)</f>
        <v>42.056118487903227</v>
      </c>
      <c r="CD28" s="8">
        <f t="shared" si="690"/>
        <v>38.901161290322584</v>
      </c>
      <c r="CE28" s="7">
        <f t="shared" si="690"/>
        <v>39.47212903225806</v>
      </c>
      <c r="CF28" s="7">
        <f t="shared" ref="CF28" si="691">SUM(CF27+25%)</f>
        <v>40.07164516129032</v>
      </c>
      <c r="CG28" s="7">
        <f t="shared" ref="CG28" si="692">SUM(CG27+25%)</f>
        <v>40.70113709677419</v>
      </c>
      <c r="CH28" s="7">
        <f t="shared" ref="CH28" si="693">SUM(CH27+25%)</f>
        <v>41.362103629032262</v>
      </c>
      <c r="CI28" s="36">
        <f t="shared" ref="CI28:CK28" si="694">SUM(CI27+25%)</f>
        <v>42.056118487903227</v>
      </c>
      <c r="CJ28" s="8">
        <f t="shared" si="694"/>
        <v>38.901161290322584</v>
      </c>
      <c r="CK28" s="7">
        <f t="shared" si="694"/>
        <v>39.47212903225806</v>
      </c>
      <c r="CL28" s="7">
        <f t="shared" ref="CL28" si="695">SUM(CL27+25%)</f>
        <v>40.07164516129032</v>
      </c>
      <c r="CM28" s="7">
        <f t="shared" ref="CM28" si="696">SUM(CM27+25%)</f>
        <v>40.70113709677419</v>
      </c>
      <c r="CN28" s="7">
        <f t="shared" ref="CN28" si="697">SUM(CN27+25%)</f>
        <v>41.362103629032262</v>
      </c>
      <c r="CO28" s="36">
        <f t="shared" ref="CO28:CQ28" si="698">SUM(CO27+25%)</f>
        <v>42.056118487903227</v>
      </c>
      <c r="CP28" s="8">
        <f t="shared" si="698"/>
        <v>38.901161290322584</v>
      </c>
      <c r="CQ28" s="7">
        <f t="shared" si="698"/>
        <v>39.47212903225806</v>
      </c>
      <c r="CR28" s="7">
        <f t="shared" ref="CR28" si="699">SUM(CR27+25%)</f>
        <v>40.07164516129032</v>
      </c>
      <c r="CS28" s="7">
        <f t="shared" ref="CS28" si="700">SUM(CS27+25%)</f>
        <v>40.70113709677419</v>
      </c>
      <c r="CT28" s="7">
        <f t="shared" ref="CT28" si="701">SUM(CT27+25%)</f>
        <v>41.362103629032262</v>
      </c>
      <c r="CU28" s="36">
        <f t="shared" ref="CU28:CW28" si="702">SUM(CU27+25%)</f>
        <v>42.056118487903227</v>
      </c>
      <c r="CV28" s="8">
        <f t="shared" si="702"/>
        <v>30.338352941176478</v>
      </c>
      <c r="CW28" s="7">
        <f t="shared" si="702"/>
        <v>30.754823529411766</v>
      </c>
      <c r="CX28" s="7">
        <f t="shared" ref="CX28" si="703">SUM(CX27+25%)</f>
        <v>31.192117647058829</v>
      </c>
      <c r="CY28" s="7">
        <f t="shared" ref="CY28" si="704">SUM(CY27+25%)</f>
        <v>31.65127647058824</v>
      </c>
      <c r="CZ28" s="7">
        <f t="shared" ref="CZ28" si="705">SUM(CZ27+25%)</f>
        <v>32.133393235294122</v>
      </c>
      <c r="DA28" s="36">
        <f t="shared" ref="DA28:DC28" si="706">SUM(DA27+25%)</f>
        <v>32.639615838235301</v>
      </c>
      <c r="DB28" s="8">
        <f t="shared" si="706"/>
        <v>31.608941176470591</v>
      </c>
      <c r="DC28" s="7">
        <f t="shared" si="706"/>
        <v>32.088941176470591</v>
      </c>
      <c r="DD28" s="7">
        <f t="shared" ref="DD28" si="707">SUM(DD27+25%)</f>
        <v>32.592941176470589</v>
      </c>
      <c r="DE28" s="7">
        <f t="shared" ref="DE28" si="708">SUM(DE27+25%)</f>
        <v>34.180541176470584</v>
      </c>
      <c r="DF28" s="7">
        <f t="shared" ref="DF28" si="709">SUM(DF27+25%)</f>
        <v>36.006281176470587</v>
      </c>
      <c r="DG28" s="36">
        <f t="shared" ref="DG28:DI28" si="710">SUM(DG27+25%)</f>
        <v>38.105882176470587</v>
      </c>
      <c r="DH28" s="8">
        <f t="shared" si="710"/>
        <v>31.608941176470591</v>
      </c>
      <c r="DI28" s="7">
        <f t="shared" si="710"/>
        <v>32.088941176470591</v>
      </c>
      <c r="DJ28" s="7">
        <f t="shared" ref="DJ28" si="711">SUM(DJ27+25%)</f>
        <v>32.592941176470589</v>
      </c>
      <c r="DK28" s="7">
        <f t="shared" ref="DK28" si="712">SUM(DK27+25%)</f>
        <v>34.180541176470584</v>
      </c>
      <c r="DL28" s="7">
        <f t="shared" ref="DL28" si="713">SUM(DL27+25%)</f>
        <v>36.006281176470587</v>
      </c>
      <c r="DM28" s="36">
        <f t="shared" ref="DM28:DO28" si="714">SUM(DM27+25%)</f>
        <v>38.105882176470587</v>
      </c>
      <c r="DN28" s="8">
        <f t="shared" si="714"/>
        <v>36.892639999999993</v>
      </c>
      <c r="DO28" s="7">
        <f t="shared" si="714"/>
        <v>38.029618823529411</v>
      </c>
      <c r="DP28" s="7">
        <f t="shared" ref="DP28" si="715">SUM(DP27+25%)</f>
        <v>38.639458823529402</v>
      </c>
      <c r="DQ28" s="7">
        <f t="shared" ref="DQ28" si="716">SUM(DQ27+25%)</f>
        <v>40.560454823529405</v>
      </c>
      <c r="DR28" s="7">
        <f t="shared" ref="DR28" si="717">SUM(DR27+25%)</f>
        <v>42.125474599999997</v>
      </c>
      <c r="DS28" s="36">
        <f t="shared" ref="DS28:DU28" si="718">SUM(DS27+25%)</f>
        <v>43.937882146470585</v>
      </c>
      <c r="DT28" s="8">
        <f t="shared" si="718"/>
        <v>43.511167999999991</v>
      </c>
      <c r="DU28" s="7">
        <f t="shared" si="718"/>
        <v>44.875542588235291</v>
      </c>
      <c r="DV28" s="7">
        <f t="shared" ref="DV28" si="719">SUM(DV27+25%)</f>
        <v>45.607350588235285</v>
      </c>
      <c r="DW28" s="7">
        <f t="shared" ref="DW28" si="720">SUM(DW27+25%)</f>
        <v>46.809732143529409</v>
      </c>
      <c r="DX28" s="7">
        <f t="shared" ref="DX28" si="721">SUM(DX27+25%)</f>
        <v>49.407314774</v>
      </c>
      <c r="DY28" s="36">
        <f t="shared" ref="DY28:EA28" si="722">SUM(DY27+25%)</f>
        <v>51.564079754299996</v>
      </c>
      <c r="DZ28" s="8">
        <f t="shared" si="722"/>
        <v>43.511167999999991</v>
      </c>
      <c r="EA28" s="7">
        <f t="shared" si="722"/>
        <v>44.875542588235291</v>
      </c>
      <c r="EB28" s="7">
        <f t="shared" ref="EB28" si="723">SUM(EB27+25%)</f>
        <v>45.607350588235285</v>
      </c>
      <c r="EC28" s="7">
        <f t="shared" ref="EC28" si="724">SUM(EC27+25%)</f>
        <v>46.809732143529409</v>
      </c>
      <c r="ED28" s="7">
        <f t="shared" ref="ED28" si="725">SUM(ED27+25%)</f>
        <v>49.407314774</v>
      </c>
      <c r="EE28" s="36">
        <f t="shared" ref="EE28:EG28" si="726">SUM(EE27+25%)</f>
        <v>51.564079754299996</v>
      </c>
      <c r="EF28" s="8">
        <f t="shared" si="726"/>
        <v>31.608941176470591</v>
      </c>
      <c r="EG28" s="7">
        <f t="shared" si="726"/>
        <v>32.088941176470591</v>
      </c>
      <c r="EH28" s="7">
        <f t="shared" ref="EH28" si="727">SUM(EH27+25%)</f>
        <v>32.592941176470589</v>
      </c>
      <c r="EI28" s="7">
        <f t="shared" ref="EI28" si="728">SUM(EI27+25%)</f>
        <v>34.180541176470584</v>
      </c>
      <c r="EJ28" s="7">
        <f t="shared" ref="EJ28" si="729">SUM(EJ27+25%)</f>
        <v>36.006281176470587</v>
      </c>
      <c r="EK28" s="36">
        <f t="shared" ref="EK28:EL28" si="730">SUM(EK27+25%)</f>
        <v>38.105882176470587</v>
      </c>
      <c r="EL28" s="36">
        <f t="shared" si="730"/>
        <v>38.901161290322584</v>
      </c>
      <c r="EM28" s="8">
        <f t="shared" ref="EM28" si="731">SUM(EM27+25%)</f>
        <v>39.094709677419353</v>
      </c>
      <c r="EN28" s="7">
        <f t="shared" ref="EN28" si="732">SUM(EN27+25%)</f>
        <v>39.675354838709673</v>
      </c>
      <c r="EO28" s="7">
        <f t="shared" ref="EO28" si="733">SUM(EO27+25%)</f>
        <v>40.285032258064497</v>
      </c>
      <c r="EP28" s="7">
        <f t="shared" ref="EP28" si="734">SUM(EP27+25%)</f>
        <v>41.565354838709681</v>
      </c>
      <c r="EQ28" s="7">
        <f t="shared" ref="EQ28" si="735">SUM(EQ27+25%)</f>
        <v>42.973709677419357</v>
      </c>
      <c r="ER28" s="36">
        <f t="shared" ref="ER28" si="736">SUM(ER27+25%)</f>
        <v>44.522900000000007</v>
      </c>
      <c r="ES28" s="8">
        <f t="shared" ref="ES28" si="737">SUM(ES27+25%)</f>
        <v>39.094709677419353</v>
      </c>
      <c r="ET28" s="7">
        <f t="shared" ref="ET28" si="738">SUM(ET27+25%)</f>
        <v>39.675354838709673</v>
      </c>
      <c r="EU28" s="7">
        <f t="shared" ref="EU28" si="739">SUM(EU27+25%)</f>
        <v>40.285032258064518</v>
      </c>
      <c r="EV28" s="7">
        <f t="shared" ref="EV28" si="740">SUM(EV27+25%)</f>
        <v>41.565354838709681</v>
      </c>
      <c r="EW28" s="7">
        <f t="shared" ref="EW28" si="741">SUM(EW27+25%)</f>
        <v>42.973709677419357</v>
      </c>
      <c r="EX28" s="36">
        <f t="shared" ref="EX28" si="742">SUM(EX27+25%)</f>
        <v>44.522900000000007</v>
      </c>
      <c r="EY28" s="8">
        <f t="shared" ref="EY28" si="743">SUM(EY27+25%)</f>
        <v>40.643096774193545</v>
      </c>
      <c r="EZ28" s="7">
        <f t="shared" ref="EZ28" si="744">SUM(EZ27+25%)</f>
        <v>41.301161290322575</v>
      </c>
      <c r="FA28" s="7">
        <f t="shared" ref="FA28" si="745">SUM(FA27+25%)</f>
        <v>41.992129032258063</v>
      </c>
      <c r="FB28" s="7">
        <f t="shared" ref="FB28" si="746">SUM(FB27+25%)</f>
        <v>44.168677419354836</v>
      </c>
      <c r="FC28" s="7">
        <f t="shared" ref="FC28" si="747">SUM(FC27+25%)</f>
        <v>46.671708064516132</v>
      </c>
      <c r="FD28" s="36">
        <f t="shared" ref="FD28" si="748">SUM(FD27+25%)</f>
        <v>49.550193306451618</v>
      </c>
    </row>
    <row r="29" spans="2:160" x14ac:dyDescent="0.3">
      <c r="B29" s="2">
        <v>15.000999999999999</v>
      </c>
      <c r="C29" s="3">
        <v>16</v>
      </c>
      <c r="D29" s="8">
        <f>SUM(D28+55%)</f>
        <v>39.257612903225805</v>
      </c>
      <c r="E29" s="7">
        <f>SUM(E28+55%)</f>
        <v>39.818903225806444</v>
      </c>
      <c r="F29" s="7">
        <f t="shared" ref="F29:K29" si="749">SUM(F28+55%)</f>
        <v>40.408258064516119</v>
      </c>
      <c r="G29" s="7">
        <f t="shared" si="749"/>
        <v>41.027080645161277</v>
      </c>
      <c r="H29" s="7">
        <f t="shared" si="749"/>
        <v>41.676844354838707</v>
      </c>
      <c r="I29" s="36">
        <f t="shared" si="749"/>
        <v>42.359096249999993</v>
      </c>
      <c r="J29" s="8">
        <f t="shared" si="749"/>
        <v>39.451161290322581</v>
      </c>
      <c r="K29" s="7">
        <f t="shared" si="749"/>
        <v>40.022129032258057</v>
      </c>
      <c r="L29" s="7">
        <f t="shared" ref="L29" si="750">SUM(L28+55%)</f>
        <v>40.621645161290317</v>
      </c>
      <c r="M29" s="7">
        <f t="shared" ref="M29" si="751">SUM(M28+55%)</f>
        <v>41.251137096774187</v>
      </c>
      <c r="N29" s="7">
        <f t="shared" ref="N29" si="752">SUM(N28+55%)</f>
        <v>41.912103629032259</v>
      </c>
      <c r="O29" s="36">
        <f t="shared" ref="O29:Q29" si="753">SUM(O28+55%)</f>
        <v>42.606118487903224</v>
      </c>
      <c r="P29" s="8">
        <f t="shared" si="753"/>
        <v>39.64470967741935</v>
      </c>
      <c r="Q29" s="7">
        <f t="shared" si="753"/>
        <v>40.22535483870967</v>
      </c>
      <c r="R29" s="7">
        <f t="shared" ref="R29" si="754">SUM(R28+55%)</f>
        <v>40.835032258064516</v>
      </c>
      <c r="S29" s="7">
        <f t="shared" ref="S29" si="755">SUM(S28+55%)</f>
        <v>41.475193548387097</v>
      </c>
      <c r="T29" s="7">
        <f t="shared" ref="T29" si="756">SUM(T28+55%)</f>
        <v>42.147362903225812</v>
      </c>
      <c r="U29" s="36">
        <f t="shared" ref="U29:W29" si="757">SUM(U28+55%)</f>
        <v>42.853140725806455</v>
      </c>
      <c r="V29" s="8">
        <f t="shared" si="757"/>
        <v>39.451161290322581</v>
      </c>
      <c r="W29" s="7">
        <f t="shared" si="757"/>
        <v>40.022129032258057</v>
      </c>
      <c r="X29" s="7">
        <f t="shared" ref="X29" si="758">SUM(X28+55%)</f>
        <v>40.621645161290317</v>
      </c>
      <c r="Y29" s="7">
        <f t="shared" ref="Y29" si="759">SUM(Y28+55%)</f>
        <v>41.251137096774187</v>
      </c>
      <c r="Z29" s="7">
        <f t="shared" ref="Z29" si="760">SUM(Z28+55%)</f>
        <v>41.912103629032259</v>
      </c>
      <c r="AA29" s="36">
        <f t="shared" ref="AA29:AC29" si="761">SUM(AA28+55%)</f>
        <v>42.606118487903224</v>
      </c>
      <c r="AB29" s="8">
        <f t="shared" si="761"/>
        <v>39.64470967741935</v>
      </c>
      <c r="AC29" s="7">
        <f t="shared" si="761"/>
        <v>40.22535483870967</v>
      </c>
      <c r="AD29" s="7">
        <f t="shared" ref="AD29" si="762">SUM(AD28+55%)</f>
        <v>40.835032258064516</v>
      </c>
      <c r="AE29" s="7">
        <f t="shared" ref="AE29" si="763">SUM(AE28+55%)</f>
        <v>41.475193548387097</v>
      </c>
      <c r="AF29" s="7">
        <f t="shared" ref="AF29" si="764">SUM(AF28+55%)</f>
        <v>42.88674919354839</v>
      </c>
      <c r="AG29" s="36">
        <f t="shared" ref="AG29:AI29" si="765">SUM(AG28+55%)</f>
        <v>43.629496330645161</v>
      </c>
      <c r="AH29" s="8">
        <f t="shared" si="765"/>
        <v>39.64470967741935</v>
      </c>
      <c r="AI29" s="7">
        <f t="shared" si="765"/>
        <v>40.22535483870967</v>
      </c>
      <c r="AJ29" s="7">
        <f t="shared" ref="AJ29" si="766">SUM(AJ28+55%)</f>
        <v>40.835032258064516</v>
      </c>
      <c r="AK29" s="7">
        <f t="shared" ref="AK29" si="767">SUM(AK28+55%)</f>
        <v>41.475193548387097</v>
      </c>
      <c r="AL29" s="7">
        <f t="shared" ref="AL29" si="768">SUM(AL28+55%)</f>
        <v>42.147362903225812</v>
      </c>
      <c r="AM29" s="36">
        <f t="shared" ref="AM29:AO29" si="769">SUM(AM28+55%)</f>
        <v>42.853140725806455</v>
      </c>
      <c r="AN29" s="8">
        <f t="shared" si="769"/>
        <v>39.64470967741935</v>
      </c>
      <c r="AO29" s="7">
        <f t="shared" si="769"/>
        <v>40.22535483870967</v>
      </c>
      <c r="AP29" s="7">
        <f t="shared" ref="AP29" si="770">SUM(AP28+55%)</f>
        <v>40.835032258064516</v>
      </c>
      <c r="AQ29" s="7">
        <f t="shared" ref="AQ29" si="771">SUM(AQ28+55%)</f>
        <v>41.475193548387097</v>
      </c>
      <c r="AR29" s="7">
        <f t="shared" ref="AR29" si="772">SUM(AR28+55%)</f>
        <v>42.147362903225812</v>
      </c>
      <c r="AS29" s="36">
        <f t="shared" ref="AS29:AU29" si="773">SUM(AS28+55%)</f>
        <v>42.853140725806455</v>
      </c>
      <c r="AT29" s="8">
        <f t="shared" si="773"/>
        <v>39.451161290322581</v>
      </c>
      <c r="AU29" s="7">
        <f t="shared" si="773"/>
        <v>40.022129032258057</v>
      </c>
      <c r="AV29" s="7">
        <f t="shared" ref="AV29" si="774">SUM(AV28+55%)</f>
        <v>40.621645161290317</v>
      </c>
      <c r="AW29" s="7">
        <f t="shared" ref="AW29" si="775">SUM(AW28+55%)</f>
        <v>41.251137096774187</v>
      </c>
      <c r="AX29" s="7">
        <f t="shared" ref="AX29" si="776">SUM(AX28+55%)</f>
        <v>41.912103629032259</v>
      </c>
      <c r="AY29" s="36">
        <f t="shared" ref="AY29:BA29" si="777">SUM(AY28+55%)</f>
        <v>42.606118487903224</v>
      </c>
      <c r="AZ29" s="8">
        <f t="shared" si="777"/>
        <v>39.451161290322581</v>
      </c>
      <c r="BA29" s="7">
        <f t="shared" si="777"/>
        <v>40.022129032258057</v>
      </c>
      <c r="BB29" s="7">
        <f t="shared" ref="BB29" si="778">SUM(BB28+55%)</f>
        <v>40.621645161290317</v>
      </c>
      <c r="BC29" s="7">
        <f t="shared" ref="BC29" si="779">SUM(BC28+55%)</f>
        <v>41.251137096774187</v>
      </c>
      <c r="BD29" s="7">
        <f t="shared" ref="BD29" si="780">SUM(BD28+55%)</f>
        <v>41.912103629032259</v>
      </c>
      <c r="BE29" s="36">
        <f t="shared" ref="BE29:BG29" si="781">SUM(BE28+55%)</f>
        <v>42.606118487903224</v>
      </c>
      <c r="BF29" s="8">
        <f t="shared" si="781"/>
        <v>39.451161290322581</v>
      </c>
      <c r="BG29" s="7">
        <f t="shared" si="781"/>
        <v>40.022129032258057</v>
      </c>
      <c r="BH29" s="7">
        <f t="shared" ref="BH29" si="782">SUM(BH28+55%)</f>
        <v>40.621645161290317</v>
      </c>
      <c r="BI29" s="7">
        <f t="shared" ref="BI29" si="783">SUM(BI28+55%)</f>
        <v>41.251137096774187</v>
      </c>
      <c r="BJ29" s="7">
        <f t="shared" ref="BJ29" si="784">SUM(BJ28+55%)</f>
        <v>41.912103629032259</v>
      </c>
      <c r="BK29" s="36">
        <f t="shared" ref="BK29:BM29" si="785">SUM(BK28+55%)</f>
        <v>42.606118487903224</v>
      </c>
      <c r="BL29" s="8">
        <f t="shared" si="785"/>
        <v>39.451161290322581</v>
      </c>
      <c r="BM29" s="7">
        <f t="shared" si="785"/>
        <v>40.022129032258057</v>
      </c>
      <c r="BN29" s="7">
        <f t="shared" ref="BN29" si="786">SUM(BN28+55%)</f>
        <v>40.621645161290317</v>
      </c>
      <c r="BO29" s="7">
        <f t="shared" ref="BO29" si="787">SUM(BO28+55%)</f>
        <v>41.251137096774187</v>
      </c>
      <c r="BP29" s="7">
        <f t="shared" ref="BP29" si="788">SUM(BP28+55%)</f>
        <v>41.912103629032259</v>
      </c>
      <c r="BQ29" s="36">
        <f t="shared" ref="BQ29:BS29" si="789">SUM(BQ28+55%)</f>
        <v>42.606118487903224</v>
      </c>
      <c r="BR29" s="8">
        <f t="shared" si="789"/>
        <v>39.451161290322581</v>
      </c>
      <c r="BS29" s="7">
        <f t="shared" si="789"/>
        <v>40.022129032258057</v>
      </c>
      <c r="BT29" s="7">
        <f t="shared" ref="BT29" si="790">SUM(BT28+55%)</f>
        <v>40.621645161290317</v>
      </c>
      <c r="BU29" s="7">
        <f t="shared" ref="BU29" si="791">SUM(BU28+55%)</f>
        <v>41.251137096774187</v>
      </c>
      <c r="BV29" s="7">
        <f t="shared" ref="BV29" si="792">SUM(BV28+55%)</f>
        <v>41.912103629032259</v>
      </c>
      <c r="BW29" s="36">
        <f t="shared" ref="BW29:BY29" si="793">SUM(BW28+55%)</f>
        <v>42.606118487903224</v>
      </c>
      <c r="BX29" s="8">
        <f t="shared" si="793"/>
        <v>39.451161290322581</v>
      </c>
      <c r="BY29" s="7">
        <f t="shared" si="793"/>
        <v>40.022129032258057</v>
      </c>
      <c r="BZ29" s="7">
        <f t="shared" ref="BZ29" si="794">SUM(BZ28+55%)</f>
        <v>40.621645161290317</v>
      </c>
      <c r="CA29" s="7">
        <f t="shared" ref="CA29" si="795">SUM(CA28+55%)</f>
        <v>41.251137096774187</v>
      </c>
      <c r="CB29" s="7">
        <f t="shared" ref="CB29" si="796">SUM(CB28+55%)</f>
        <v>41.912103629032259</v>
      </c>
      <c r="CC29" s="36">
        <f t="shared" ref="CC29:CE29" si="797">SUM(CC28+55%)</f>
        <v>42.606118487903224</v>
      </c>
      <c r="CD29" s="8">
        <f t="shared" si="797"/>
        <v>39.451161290322581</v>
      </c>
      <c r="CE29" s="7">
        <f t="shared" si="797"/>
        <v>40.022129032258057</v>
      </c>
      <c r="CF29" s="7">
        <f t="shared" ref="CF29" si="798">SUM(CF28+55%)</f>
        <v>40.621645161290317</v>
      </c>
      <c r="CG29" s="7">
        <f t="shared" ref="CG29" si="799">SUM(CG28+55%)</f>
        <v>41.251137096774187</v>
      </c>
      <c r="CH29" s="7">
        <f t="shared" ref="CH29" si="800">SUM(CH28+55%)</f>
        <v>41.912103629032259</v>
      </c>
      <c r="CI29" s="36">
        <f t="shared" ref="CI29:CK29" si="801">SUM(CI28+55%)</f>
        <v>42.606118487903224</v>
      </c>
      <c r="CJ29" s="8">
        <f t="shared" si="801"/>
        <v>39.451161290322581</v>
      </c>
      <c r="CK29" s="7">
        <f t="shared" si="801"/>
        <v>40.022129032258057</v>
      </c>
      <c r="CL29" s="7">
        <f t="shared" ref="CL29" si="802">SUM(CL28+55%)</f>
        <v>40.621645161290317</v>
      </c>
      <c r="CM29" s="7">
        <f t="shared" ref="CM29" si="803">SUM(CM28+55%)</f>
        <v>41.251137096774187</v>
      </c>
      <c r="CN29" s="7">
        <f t="shared" ref="CN29" si="804">SUM(CN28+55%)</f>
        <v>41.912103629032259</v>
      </c>
      <c r="CO29" s="36">
        <f t="shared" ref="CO29:CQ29" si="805">SUM(CO28+55%)</f>
        <v>42.606118487903224</v>
      </c>
      <c r="CP29" s="8">
        <f t="shared" si="805"/>
        <v>39.451161290322581</v>
      </c>
      <c r="CQ29" s="7">
        <f t="shared" si="805"/>
        <v>40.022129032258057</v>
      </c>
      <c r="CR29" s="7">
        <f t="shared" ref="CR29" si="806">SUM(CR28+55%)</f>
        <v>40.621645161290317</v>
      </c>
      <c r="CS29" s="7">
        <f t="shared" ref="CS29" si="807">SUM(CS28+55%)</f>
        <v>41.251137096774187</v>
      </c>
      <c r="CT29" s="7">
        <f t="shared" ref="CT29" si="808">SUM(CT28+55%)</f>
        <v>41.912103629032259</v>
      </c>
      <c r="CU29" s="36">
        <f t="shared" ref="CU29:CW29" si="809">SUM(CU28+55%)</f>
        <v>42.606118487903224</v>
      </c>
      <c r="CV29" s="8">
        <f t="shared" si="809"/>
        <v>30.888352941176478</v>
      </c>
      <c r="CW29" s="7">
        <f t="shared" si="809"/>
        <v>31.304823529411767</v>
      </c>
      <c r="CX29" s="7">
        <f t="shared" ref="CX29" si="810">SUM(CX28+55%)</f>
        <v>31.74211764705883</v>
      </c>
      <c r="CY29" s="7">
        <f t="shared" ref="CY29" si="811">SUM(CY28+55%)</f>
        <v>32.20127647058824</v>
      </c>
      <c r="CZ29" s="7">
        <f t="shared" ref="CZ29" si="812">SUM(CZ28+55%)</f>
        <v>32.683393235294119</v>
      </c>
      <c r="DA29" s="36">
        <f t="shared" ref="DA29:DC29" si="813">SUM(DA28+55%)</f>
        <v>33.189615838235298</v>
      </c>
      <c r="DB29" s="8">
        <f t="shared" si="813"/>
        <v>32.158941176470591</v>
      </c>
      <c r="DC29" s="7">
        <f t="shared" si="813"/>
        <v>32.638941176470588</v>
      </c>
      <c r="DD29" s="7">
        <f t="shared" ref="DD29" si="814">SUM(DD28+55%)</f>
        <v>33.142941176470586</v>
      </c>
      <c r="DE29" s="7">
        <f t="shared" ref="DE29" si="815">SUM(DE28+55%)</f>
        <v>34.730541176470581</v>
      </c>
      <c r="DF29" s="7">
        <f t="shared" ref="DF29" si="816">SUM(DF28+55%)</f>
        <v>36.556281176470584</v>
      </c>
      <c r="DG29" s="36">
        <f t="shared" ref="DG29:DI29" si="817">SUM(DG28+55%)</f>
        <v>38.655882176470584</v>
      </c>
      <c r="DH29" s="8">
        <f t="shared" si="817"/>
        <v>32.158941176470591</v>
      </c>
      <c r="DI29" s="7">
        <f t="shared" si="817"/>
        <v>32.638941176470588</v>
      </c>
      <c r="DJ29" s="7">
        <f t="shared" ref="DJ29" si="818">SUM(DJ28+55%)</f>
        <v>33.142941176470586</v>
      </c>
      <c r="DK29" s="7">
        <f t="shared" ref="DK29" si="819">SUM(DK28+55%)</f>
        <v>34.730541176470581</v>
      </c>
      <c r="DL29" s="7">
        <f t="shared" ref="DL29" si="820">SUM(DL28+55%)</f>
        <v>36.556281176470584</v>
      </c>
      <c r="DM29" s="36">
        <f t="shared" ref="DM29:DO29" si="821">SUM(DM28+55%)</f>
        <v>38.655882176470584</v>
      </c>
      <c r="DN29" s="8">
        <f t="shared" si="821"/>
        <v>37.44263999999999</v>
      </c>
      <c r="DO29" s="7">
        <f t="shared" si="821"/>
        <v>38.579618823529408</v>
      </c>
      <c r="DP29" s="7">
        <f t="shared" ref="DP29" si="822">SUM(DP28+55%)</f>
        <v>39.189458823529399</v>
      </c>
      <c r="DQ29" s="7">
        <f t="shared" ref="DQ29" si="823">SUM(DQ28+55%)</f>
        <v>41.110454823529402</v>
      </c>
      <c r="DR29" s="7">
        <f t="shared" ref="DR29" si="824">SUM(DR28+55%)</f>
        <v>42.675474599999994</v>
      </c>
      <c r="DS29" s="36">
        <f t="shared" ref="DS29:DU29" si="825">SUM(DS28+55%)</f>
        <v>44.487882146470582</v>
      </c>
      <c r="DT29" s="8">
        <f t="shared" si="825"/>
        <v>44.061167999999988</v>
      </c>
      <c r="DU29" s="7">
        <f t="shared" si="825"/>
        <v>45.425542588235288</v>
      </c>
      <c r="DV29" s="7">
        <f t="shared" ref="DV29" si="826">SUM(DV28+55%)</f>
        <v>46.157350588235282</v>
      </c>
      <c r="DW29" s="7">
        <f t="shared" ref="DW29" si="827">SUM(DW28+55%)</f>
        <v>47.359732143529406</v>
      </c>
      <c r="DX29" s="7">
        <f t="shared" ref="DX29" si="828">SUM(DX28+55%)</f>
        <v>49.957314773999997</v>
      </c>
      <c r="DY29" s="36">
        <f t="shared" ref="DY29:EA29" si="829">SUM(DY28+55%)</f>
        <v>52.114079754299993</v>
      </c>
      <c r="DZ29" s="8">
        <f t="shared" si="829"/>
        <v>44.061167999999988</v>
      </c>
      <c r="EA29" s="7">
        <f t="shared" si="829"/>
        <v>45.425542588235288</v>
      </c>
      <c r="EB29" s="7">
        <f t="shared" ref="EB29" si="830">SUM(EB28+55%)</f>
        <v>46.157350588235282</v>
      </c>
      <c r="EC29" s="7">
        <f t="shared" ref="EC29" si="831">SUM(EC28+55%)</f>
        <v>47.359732143529406</v>
      </c>
      <c r="ED29" s="7">
        <f t="shared" ref="ED29" si="832">SUM(ED28+55%)</f>
        <v>49.957314773999997</v>
      </c>
      <c r="EE29" s="36">
        <f t="shared" ref="EE29:EG29" si="833">SUM(EE28+55%)</f>
        <v>52.114079754299993</v>
      </c>
      <c r="EF29" s="8">
        <f t="shared" si="833"/>
        <v>32.158941176470591</v>
      </c>
      <c r="EG29" s="7">
        <f t="shared" si="833"/>
        <v>32.638941176470588</v>
      </c>
      <c r="EH29" s="7">
        <f t="shared" ref="EH29" si="834">SUM(EH28+55%)</f>
        <v>33.142941176470586</v>
      </c>
      <c r="EI29" s="7">
        <f t="shared" ref="EI29" si="835">SUM(EI28+55%)</f>
        <v>34.730541176470581</v>
      </c>
      <c r="EJ29" s="7">
        <f t="shared" ref="EJ29" si="836">SUM(EJ28+55%)</f>
        <v>36.556281176470584</v>
      </c>
      <c r="EK29" s="36">
        <f t="shared" ref="EK29:EL29" si="837">SUM(EK28+55%)</f>
        <v>38.655882176470584</v>
      </c>
      <c r="EL29" s="36">
        <f t="shared" si="837"/>
        <v>39.451161290322581</v>
      </c>
      <c r="EM29" s="8">
        <f t="shared" ref="EM29" si="838">SUM(EM28+55%)</f>
        <v>39.64470967741935</v>
      </c>
      <c r="EN29" s="7">
        <f t="shared" ref="EN29" si="839">SUM(EN28+55%)</f>
        <v>40.22535483870967</v>
      </c>
      <c r="EO29" s="7">
        <f t="shared" ref="EO29" si="840">SUM(EO28+55%)</f>
        <v>40.835032258064494</v>
      </c>
      <c r="EP29" s="7">
        <f t="shared" ref="EP29" si="841">SUM(EP28+55%)</f>
        <v>42.115354838709678</v>
      </c>
      <c r="EQ29" s="7">
        <f t="shared" ref="EQ29" si="842">SUM(EQ28+55%)</f>
        <v>43.523709677419355</v>
      </c>
      <c r="ER29" s="36">
        <f t="shared" ref="ER29" si="843">SUM(ER28+55%)</f>
        <v>45.072900000000004</v>
      </c>
      <c r="ES29" s="8">
        <f t="shared" ref="ES29" si="844">SUM(ES28+55%)</f>
        <v>39.64470967741935</v>
      </c>
      <c r="ET29" s="7">
        <f t="shared" ref="ET29" si="845">SUM(ET28+55%)</f>
        <v>40.22535483870967</v>
      </c>
      <c r="EU29" s="7">
        <f t="shared" ref="EU29" si="846">SUM(EU28+55%)</f>
        <v>40.835032258064516</v>
      </c>
      <c r="EV29" s="7">
        <f t="shared" ref="EV29" si="847">SUM(EV28+55%)</f>
        <v>42.115354838709678</v>
      </c>
      <c r="EW29" s="7">
        <f t="shared" ref="EW29" si="848">SUM(EW28+55%)</f>
        <v>43.523709677419355</v>
      </c>
      <c r="EX29" s="36">
        <f t="shared" ref="EX29" si="849">SUM(EX28+55%)</f>
        <v>45.072900000000004</v>
      </c>
      <c r="EY29" s="8">
        <f t="shared" ref="EY29" si="850">SUM(EY28+55%)</f>
        <v>41.193096774193542</v>
      </c>
      <c r="EZ29" s="7">
        <f t="shared" ref="EZ29" si="851">SUM(EZ28+55%)</f>
        <v>41.851161290322572</v>
      </c>
      <c r="FA29" s="7">
        <f t="shared" ref="FA29" si="852">SUM(FA28+55%)</f>
        <v>42.54212903225806</v>
      </c>
      <c r="FB29" s="7">
        <f t="shared" ref="FB29" si="853">SUM(FB28+55%)</f>
        <v>44.718677419354833</v>
      </c>
      <c r="FC29" s="7">
        <f t="shared" ref="FC29" si="854">SUM(FC28+55%)</f>
        <v>47.221708064516129</v>
      </c>
      <c r="FD29" s="36">
        <f t="shared" ref="FD29" si="855">SUM(FD28+55%)</f>
        <v>50.100193306451615</v>
      </c>
    </row>
    <row r="30" spans="2:160" x14ac:dyDescent="0.3">
      <c r="B30" s="2">
        <v>16.001000000000001</v>
      </c>
      <c r="C30" s="3">
        <v>17</v>
      </c>
      <c r="D30" s="8">
        <f>SUM(D29+95%)</f>
        <v>40.207612903225808</v>
      </c>
      <c r="E30" s="7">
        <f>SUM(E29+95%)</f>
        <v>40.768903225806447</v>
      </c>
      <c r="F30" s="7">
        <f t="shared" ref="F30:K30" si="856">SUM(F29+95%)</f>
        <v>41.358258064516122</v>
      </c>
      <c r="G30" s="7">
        <f t="shared" si="856"/>
        <v>41.97708064516128</v>
      </c>
      <c r="H30" s="7">
        <f t="shared" si="856"/>
        <v>42.62684435483871</v>
      </c>
      <c r="I30" s="36">
        <f t="shared" si="856"/>
        <v>43.309096249999996</v>
      </c>
      <c r="J30" s="8">
        <f t="shared" si="856"/>
        <v>40.401161290322584</v>
      </c>
      <c r="K30" s="7">
        <f t="shared" si="856"/>
        <v>40.97212903225806</v>
      </c>
      <c r="L30" s="7">
        <f t="shared" ref="L30" si="857">SUM(L29+95%)</f>
        <v>41.57164516129032</v>
      </c>
      <c r="M30" s="7">
        <f t="shared" ref="M30" si="858">SUM(M29+95%)</f>
        <v>42.20113709677419</v>
      </c>
      <c r="N30" s="7">
        <f t="shared" ref="N30" si="859">SUM(N29+95%)</f>
        <v>42.862103629032262</v>
      </c>
      <c r="O30" s="36">
        <f t="shared" ref="O30:Q30" si="860">SUM(O29+95%)</f>
        <v>43.556118487903227</v>
      </c>
      <c r="P30" s="8">
        <f t="shared" si="860"/>
        <v>40.594709677419353</v>
      </c>
      <c r="Q30" s="7">
        <f t="shared" si="860"/>
        <v>41.175354838709673</v>
      </c>
      <c r="R30" s="7">
        <f t="shared" ref="R30" si="861">SUM(R29+95%)</f>
        <v>41.785032258064518</v>
      </c>
      <c r="S30" s="7">
        <f t="shared" ref="S30" si="862">SUM(S29+95%)</f>
        <v>42.425193548387099</v>
      </c>
      <c r="T30" s="7">
        <f t="shared" ref="T30" si="863">SUM(T29+95%)</f>
        <v>43.097362903225815</v>
      </c>
      <c r="U30" s="36">
        <f t="shared" ref="U30:W30" si="864">SUM(U29+95%)</f>
        <v>43.803140725806458</v>
      </c>
      <c r="V30" s="8">
        <f t="shared" si="864"/>
        <v>40.401161290322584</v>
      </c>
      <c r="W30" s="7">
        <f t="shared" si="864"/>
        <v>40.97212903225806</v>
      </c>
      <c r="X30" s="7">
        <f t="shared" ref="X30" si="865">SUM(X29+95%)</f>
        <v>41.57164516129032</v>
      </c>
      <c r="Y30" s="7">
        <f t="shared" ref="Y30" si="866">SUM(Y29+95%)</f>
        <v>42.20113709677419</v>
      </c>
      <c r="Z30" s="7">
        <f t="shared" ref="Z30" si="867">SUM(Z29+95%)</f>
        <v>42.862103629032262</v>
      </c>
      <c r="AA30" s="36">
        <f t="shared" ref="AA30:AC30" si="868">SUM(AA29+95%)</f>
        <v>43.556118487903227</v>
      </c>
      <c r="AB30" s="8">
        <f t="shared" si="868"/>
        <v>40.594709677419353</v>
      </c>
      <c r="AC30" s="7">
        <f t="shared" si="868"/>
        <v>41.175354838709673</v>
      </c>
      <c r="AD30" s="7">
        <f t="shared" ref="AD30" si="869">SUM(AD29+95%)</f>
        <v>41.785032258064518</v>
      </c>
      <c r="AE30" s="7">
        <f t="shared" ref="AE30" si="870">SUM(AE29+95%)</f>
        <v>42.425193548387099</v>
      </c>
      <c r="AF30" s="7">
        <f t="shared" ref="AF30" si="871">SUM(AF29+95%)</f>
        <v>43.836749193548393</v>
      </c>
      <c r="AG30" s="36">
        <f t="shared" ref="AG30:AI30" si="872">SUM(AG29+95%)</f>
        <v>44.579496330645163</v>
      </c>
      <c r="AH30" s="8">
        <f t="shared" si="872"/>
        <v>40.594709677419353</v>
      </c>
      <c r="AI30" s="7">
        <f t="shared" si="872"/>
        <v>41.175354838709673</v>
      </c>
      <c r="AJ30" s="7">
        <f t="shared" ref="AJ30" si="873">SUM(AJ29+95%)</f>
        <v>41.785032258064518</v>
      </c>
      <c r="AK30" s="7">
        <f t="shared" ref="AK30" si="874">SUM(AK29+95%)</f>
        <v>42.425193548387099</v>
      </c>
      <c r="AL30" s="7">
        <f t="shared" ref="AL30" si="875">SUM(AL29+95%)</f>
        <v>43.097362903225815</v>
      </c>
      <c r="AM30" s="36">
        <f t="shared" ref="AM30:AO30" si="876">SUM(AM29+95%)</f>
        <v>43.803140725806458</v>
      </c>
      <c r="AN30" s="8">
        <f t="shared" si="876"/>
        <v>40.594709677419353</v>
      </c>
      <c r="AO30" s="7">
        <f t="shared" si="876"/>
        <v>41.175354838709673</v>
      </c>
      <c r="AP30" s="7">
        <f t="shared" ref="AP30" si="877">SUM(AP29+95%)</f>
        <v>41.785032258064518</v>
      </c>
      <c r="AQ30" s="7">
        <f t="shared" ref="AQ30" si="878">SUM(AQ29+95%)</f>
        <v>42.425193548387099</v>
      </c>
      <c r="AR30" s="7">
        <f t="shared" ref="AR30" si="879">SUM(AR29+95%)</f>
        <v>43.097362903225815</v>
      </c>
      <c r="AS30" s="36">
        <f t="shared" ref="AS30:AU30" si="880">SUM(AS29+95%)</f>
        <v>43.803140725806458</v>
      </c>
      <c r="AT30" s="8">
        <f t="shared" si="880"/>
        <v>40.401161290322584</v>
      </c>
      <c r="AU30" s="7">
        <f t="shared" si="880"/>
        <v>40.97212903225806</v>
      </c>
      <c r="AV30" s="7">
        <f t="shared" ref="AV30" si="881">SUM(AV29+95%)</f>
        <v>41.57164516129032</v>
      </c>
      <c r="AW30" s="7">
        <f t="shared" ref="AW30" si="882">SUM(AW29+95%)</f>
        <v>42.20113709677419</v>
      </c>
      <c r="AX30" s="7">
        <f t="shared" ref="AX30" si="883">SUM(AX29+95%)</f>
        <v>42.862103629032262</v>
      </c>
      <c r="AY30" s="36">
        <f t="shared" ref="AY30:BA30" si="884">SUM(AY29+95%)</f>
        <v>43.556118487903227</v>
      </c>
      <c r="AZ30" s="8">
        <f t="shared" si="884"/>
        <v>40.401161290322584</v>
      </c>
      <c r="BA30" s="7">
        <f t="shared" si="884"/>
        <v>40.97212903225806</v>
      </c>
      <c r="BB30" s="7">
        <f t="shared" ref="BB30" si="885">SUM(BB29+95%)</f>
        <v>41.57164516129032</v>
      </c>
      <c r="BC30" s="7">
        <f t="shared" ref="BC30" si="886">SUM(BC29+95%)</f>
        <v>42.20113709677419</v>
      </c>
      <c r="BD30" s="7">
        <f t="shared" ref="BD30" si="887">SUM(BD29+95%)</f>
        <v>42.862103629032262</v>
      </c>
      <c r="BE30" s="36">
        <f t="shared" ref="BE30:BG30" si="888">SUM(BE29+95%)</f>
        <v>43.556118487903227</v>
      </c>
      <c r="BF30" s="8">
        <f t="shared" si="888"/>
        <v>40.401161290322584</v>
      </c>
      <c r="BG30" s="7">
        <f t="shared" si="888"/>
        <v>40.97212903225806</v>
      </c>
      <c r="BH30" s="7">
        <f t="shared" ref="BH30" si="889">SUM(BH29+95%)</f>
        <v>41.57164516129032</v>
      </c>
      <c r="BI30" s="7">
        <f t="shared" ref="BI30" si="890">SUM(BI29+95%)</f>
        <v>42.20113709677419</v>
      </c>
      <c r="BJ30" s="7">
        <f t="shared" ref="BJ30" si="891">SUM(BJ29+95%)</f>
        <v>42.862103629032262</v>
      </c>
      <c r="BK30" s="36">
        <f t="shared" ref="BK30:BM30" si="892">SUM(BK29+95%)</f>
        <v>43.556118487903227</v>
      </c>
      <c r="BL30" s="8">
        <f t="shared" si="892"/>
        <v>40.401161290322584</v>
      </c>
      <c r="BM30" s="7">
        <f t="shared" si="892"/>
        <v>40.97212903225806</v>
      </c>
      <c r="BN30" s="7">
        <f t="shared" ref="BN30" si="893">SUM(BN29+95%)</f>
        <v>41.57164516129032</v>
      </c>
      <c r="BO30" s="7">
        <f t="shared" ref="BO30" si="894">SUM(BO29+95%)</f>
        <v>42.20113709677419</v>
      </c>
      <c r="BP30" s="7">
        <f t="shared" ref="BP30" si="895">SUM(BP29+95%)</f>
        <v>42.862103629032262</v>
      </c>
      <c r="BQ30" s="36">
        <f t="shared" ref="BQ30:BS30" si="896">SUM(BQ29+95%)</f>
        <v>43.556118487903227</v>
      </c>
      <c r="BR30" s="8">
        <f t="shared" si="896"/>
        <v>40.401161290322584</v>
      </c>
      <c r="BS30" s="7">
        <f t="shared" si="896"/>
        <v>40.97212903225806</v>
      </c>
      <c r="BT30" s="7">
        <f t="shared" ref="BT30" si="897">SUM(BT29+95%)</f>
        <v>41.57164516129032</v>
      </c>
      <c r="BU30" s="7">
        <f t="shared" ref="BU30" si="898">SUM(BU29+95%)</f>
        <v>42.20113709677419</v>
      </c>
      <c r="BV30" s="7">
        <f t="shared" ref="BV30" si="899">SUM(BV29+95%)</f>
        <v>42.862103629032262</v>
      </c>
      <c r="BW30" s="36">
        <f t="shared" ref="BW30:BY30" si="900">SUM(BW29+95%)</f>
        <v>43.556118487903227</v>
      </c>
      <c r="BX30" s="8">
        <f t="shared" si="900"/>
        <v>40.401161290322584</v>
      </c>
      <c r="BY30" s="7">
        <f t="shared" si="900"/>
        <v>40.97212903225806</v>
      </c>
      <c r="BZ30" s="7">
        <f t="shared" ref="BZ30" si="901">SUM(BZ29+95%)</f>
        <v>41.57164516129032</v>
      </c>
      <c r="CA30" s="7">
        <f t="shared" ref="CA30" si="902">SUM(CA29+95%)</f>
        <v>42.20113709677419</v>
      </c>
      <c r="CB30" s="7">
        <f t="shared" ref="CB30" si="903">SUM(CB29+95%)</f>
        <v>42.862103629032262</v>
      </c>
      <c r="CC30" s="36">
        <f t="shared" ref="CC30:CE30" si="904">SUM(CC29+95%)</f>
        <v>43.556118487903227</v>
      </c>
      <c r="CD30" s="8">
        <f t="shared" si="904"/>
        <v>40.401161290322584</v>
      </c>
      <c r="CE30" s="7">
        <f t="shared" si="904"/>
        <v>40.97212903225806</v>
      </c>
      <c r="CF30" s="7">
        <f t="shared" ref="CF30" si="905">SUM(CF29+95%)</f>
        <v>41.57164516129032</v>
      </c>
      <c r="CG30" s="7">
        <f t="shared" ref="CG30" si="906">SUM(CG29+95%)</f>
        <v>42.20113709677419</v>
      </c>
      <c r="CH30" s="7">
        <f t="shared" ref="CH30" si="907">SUM(CH29+95%)</f>
        <v>42.862103629032262</v>
      </c>
      <c r="CI30" s="36">
        <f t="shared" ref="CI30:CK30" si="908">SUM(CI29+95%)</f>
        <v>43.556118487903227</v>
      </c>
      <c r="CJ30" s="8">
        <f t="shared" si="908"/>
        <v>40.401161290322584</v>
      </c>
      <c r="CK30" s="7">
        <f t="shared" si="908"/>
        <v>40.97212903225806</v>
      </c>
      <c r="CL30" s="7">
        <f t="shared" ref="CL30" si="909">SUM(CL29+95%)</f>
        <v>41.57164516129032</v>
      </c>
      <c r="CM30" s="7">
        <f t="shared" ref="CM30" si="910">SUM(CM29+95%)</f>
        <v>42.20113709677419</v>
      </c>
      <c r="CN30" s="7">
        <f t="shared" ref="CN30" si="911">SUM(CN29+95%)</f>
        <v>42.862103629032262</v>
      </c>
      <c r="CO30" s="36">
        <f t="shared" ref="CO30:CQ30" si="912">SUM(CO29+95%)</f>
        <v>43.556118487903227</v>
      </c>
      <c r="CP30" s="8">
        <f t="shared" si="912"/>
        <v>40.401161290322584</v>
      </c>
      <c r="CQ30" s="7">
        <f t="shared" si="912"/>
        <v>40.97212903225806</v>
      </c>
      <c r="CR30" s="7">
        <f t="shared" ref="CR30" si="913">SUM(CR29+95%)</f>
        <v>41.57164516129032</v>
      </c>
      <c r="CS30" s="7">
        <f t="shared" ref="CS30" si="914">SUM(CS29+95%)</f>
        <v>42.20113709677419</v>
      </c>
      <c r="CT30" s="7">
        <f t="shared" ref="CT30" si="915">SUM(CT29+95%)</f>
        <v>42.862103629032262</v>
      </c>
      <c r="CU30" s="36">
        <f t="shared" ref="CU30:CW30" si="916">SUM(CU29+95%)</f>
        <v>43.556118487903227</v>
      </c>
      <c r="CV30" s="8">
        <f t="shared" si="916"/>
        <v>31.838352941176478</v>
      </c>
      <c r="CW30" s="7">
        <f t="shared" si="916"/>
        <v>32.254823529411766</v>
      </c>
      <c r="CX30" s="7">
        <f t="shared" ref="CX30" si="917">SUM(CX29+95%)</f>
        <v>32.692117647058829</v>
      </c>
      <c r="CY30" s="7">
        <f t="shared" ref="CY30" si="918">SUM(CY29+95%)</f>
        <v>33.151276470588243</v>
      </c>
      <c r="CZ30" s="7">
        <f t="shared" ref="CZ30" si="919">SUM(CZ29+95%)</f>
        <v>33.633393235294122</v>
      </c>
      <c r="DA30" s="36">
        <f t="shared" ref="DA30:DC30" si="920">SUM(DA29+95%)</f>
        <v>34.139615838235301</v>
      </c>
      <c r="DB30" s="8">
        <f t="shared" si="920"/>
        <v>33.108941176470594</v>
      </c>
      <c r="DC30" s="7">
        <f t="shared" si="920"/>
        <v>33.588941176470591</v>
      </c>
      <c r="DD30" s="7">
        <f t="shared" ref="DD30" si="921">SUM(DD29+95%)</f>
        <v>34.092941176470589</v>
      </c>
      <c r="DE30" s="7">
        <f t="shared" ref="DE30" si="922">SUM(DE29+95%)</f>
        <v>35.680541176470584</v>
      </c>
      <c r="DF30" s="7">
        <f t="shared" ref="DF30" si="923">SUM(DF29+95%)</f>
        <v>37.506281176470587</v>
      </c>
      <c r="DG30" s="36">
        <f t="shared" ref="DG30:DI30" si="924">SUM(DG29+95%)</f>
        <v>39.605882176470587</v>
      </c>
      <c r="DH30" s="8">
        <f t="shared" si="924"/>
        <v>33.108941176470594</v>
      </c>
      <c r="DI30" s="7">
        <f t="shared" si="924"/>
        <v>33.588941176470591</v>
      </c>
      <c r="DJ30" s="7">
        <f t="shared" ref="DJ30" si="925">SUM(DJ29+95%)</f>
        <v>34.092941176470589</v>
      </c>
      <c r="DK30" s="7">
        <f t="shared" ref="DK30" si="926">SUM(DK29+95%)</f>
        <v>35.680541176470584</v>
      </c>
      <c r="DL30" s="7">
        <f t="shared" ref="DL30" si="927">SUM(DL29+95%)</f>
        <v>37.506281176470587</v>
      </c>
      <c r="DM30" s="36">
        <f t="shared" ref="DM30:DO30" si="928">SUM(DM29+95%)</f>
        <v>39.605882176470587</v>
      </c>
      <c r="DN30" s="8">
        <f t="shared" si="928"/>
        <v>38.392639999999993</v>
      </c>
      <c r="DO30" s="7">
        <f t="shared" si="928"/>
        <v>39.529618823529411</v>
      </c>
      <c r="DP30" s="7">
        <f t="shared" ref="DP30" si="929">SUM(DP29+95%)</f>
        <v>40.139458823529402</v>
      </c>
      <c r="DQ30" s="7">
        <f t="shared" ref="DQ30" si="930">SUM(DQ29+95%)</f>
        <v>42.060454823529405</v>
      </c>
      <c r="DR30" s="7">
        <f t="shared" ref="DR30" si="931">SUM(DR29+95%)</f>
        <v>43.625474599999997</v>
      </c>
      <c r="DS30" s="36">
        <f t="shared" ref="DS30:DU30" si="932">SUM(DS29+95%)</f>
        <v>45.437882146470585</v>
      </c>
      <c r="DT30" s="8">
        <f t="shared" si="932"/>
        <v>45.011167999999991</v>
      </c>
      <c r="DU30" s="7">
        <f t="shared" si="932"/>
        <v>46.375542588235291</v>
      </c>
      <c r="DV30" s="7">
        <f t="shared" ref="DV30" si="933">SUM(DV29+95%)</f>
        <v>47.107350588235285</v>
      </c>
      <c r="DW30" s="7">
        <f t="shared" ref="DW30" si="934">SUM(DW29+95%)</f>
        <v>48.309732143529409</v>
      </c>
      <c r="DX30" s="7">
        <f t="shared" ref="DX30" si="935">SUM(DX29+95%)</f>
        <v>50.907314774</v>
      </c>
      <c r="DY30" s="36">
        <f t="shared" ref="DY30:EA30" si="936">SUM(DY29+95%)</f>
        <v>53.064079754299996</v>
      </c>
      <c r="DZ30" s="8">
        <f t="shared" si="936"/>
        <v>45.011167999999991</v>
      </c>
      <c r="EA30" s="7">
        <f t="shared" si="936"/>
        <v>46.375542588235291</v>
      </c>
      <c r="EB30" s="7">
        <f t="shared" ref="EB30" si="937">SUM(EB29+95%)</f>
        <v>47.107350588235285</v>
      </c>
      <c r="EC30" s="7">
        <f t="shared" ref="EC30" si="938">SUM(EC29+95%)</f>
        <v>48.309732143529409</v>
      </c>
      <c r="ED30" s="7">
        <f t="shared" ref="ED30" si="939">SUM(ED29+95%)</f>
        <v>50.907314774</v>
      </c>
      <c r="EE30" s="36">
        <f t="shared" ref="EE30:EG30" si="940">SUM(EE29+95%)</f>
        <v>53.064079754299996</v>
      </c>
      <c r="EF30" s="8">
        <f t="shared" si="940"/>
        <v>33.108941176470594</v>
      </c>
      <c r="EG30" s="7">
        <f t="shared" si="940"/>
        <v>33.588941176470591</v>
      </c>
      <c r="EH30" s="7">
        <f t="shared" ref="EH30" si="941">SUM(EH29+95%)</f>
        <v>34.092941176470589</v>
      </c>
      <c r="EI30" s="7">
        <f t="shared" ref="EI30" si="942">SUM(EI29+95%)</f>
        <v>35.680541176470584</v>
      </c>
      <c r="EJ30" s="7">
        <f t="shared" ref="EJ30" si="943">SUM(EJ29+95%)</f>
        <v>37.506281176470587</v>
      </c>
      <c r="EK30" s="36">
        <f t="shared" ref="EK30:EL30" si="944">SUM(EK29+95%)</f>
        <v>39.605882176470587</v>
      </c>
      <c r="EL30" s="36">
        <f t="shared" si="944"/>
        <v>40.401161290322584</v>
      </c>
      <c r="EM30" s="8">
        <f t="shared" ref="EM30" si="945">SUM(EM29+95%)</f>
        <v>40.594709677419353</v>
      </c>
      <c r="EN30" s="7">
        <f t="shared" ref="EN30" si="946">SUM(EN29+95%)</f>
        <v>41.175354838709673</v>
      </c>
      <c r="EO30" s="7">
        <f t="shared" ref="EO30" si="947">SUM(EO29+95%)</f>
        <v>41.785032258064497</v>
      </c>
      <c r="EP30" s="7">
        <f t="shared" ref="EP30" si="948">SUM(EP29+95%)</f>
        <v>43.065354838709681</v>
      </c>
      <c r="EQ30" s="7">
        <f t="shared" ref="EQ30" si="949">SUM(EQ29+95%)</f>
        <v>44.473709677419357</v>
      </c>
      <c r="ER30" s="36">
        <f t="shared" ref="ER30" si="950">SUM(ER29+95%)</f>
        <v>46.022900000000007</v>
      </c>
      <c r="ES30" s="8">
        <f t="shared" ref="ES30" si="951">SUM(ES29+95%)</f>
        <v>40.594709677419353</v>
      </c>
      <c r="ET30" s="7">
        <f t="shared" ref="ET30" si="952">SUM(ET29+95%)</f>
        <v>41.175354838709673</v>
      </c>
      <c r="EU30" s="7">
        <f t="shared" ref="EU30" si="953">SUM(EU29+95%)</f>
        <v>41.785032258064518</v>
      </c>
      <c r="EV30" s="7">
        <f t="shared" ref="EV30" si="954">SUM(EV29+95%)</f>
        <v>43.065354838709681</v>
      </c>
      <c r="EW30" s="7">
        <f t="shared" ref="EW30" si="955">SUM(EW29+95%)</f>
        <v>44.473709677419357</v>
      </c>
      <c r="EX30" s="36">
        <f t="shared" ref="EX30" si="956">SUM(EX29+95%)</f>
        <v>46.022900000000007</v>
      </c>
      <c r="EY30" s="8">
        <f t="shared" ref="EY30" si="957">SUM(EY29+95%)</f>
        <v>42.143096774193545</v>
      </c>
      <c r="EZ30" s="7">
        <f t="shared" ref="EZ30" si="958">SUM(EZ29+95%)</f>
        <v>42.801161290322575</v>
      </c>
      <c r="FA30" s="7">
        <f t="shared" ref="FA30" si="959">SUM(FA29+95%)</f>
        <v>43.492129032258063</v>
      </c>
      <c r="FB30" s="7">
        <f t="shared" ref="FB30" si="960">SUM(FB29+95%)</f>
        <v>45.668677419354836</v>
      </c>
      <c r="FC30" s="7">
        <f t="shared" ref="FC30" si="961">SUM(FC29+95%)</f>
        <v>48.171708064516132</v>
      </c>
      <c r="FD30" s="36">
        <f t="shared" ref="FD30" si="962">SUM(FD29+95%)</f>
        <v>51.050193306451618</v>
      </c>
    </row>
    <row r="31" spans="2:160" x14ac:dyDescent="0.3">
      <c r="B31" s="2">
        <v>17.001000000000001</v>
      </c>
      <c r="C31" s="3">
        <v>18</v>
      </c>
      <c r="D31" s="8">
        <v>57.939870967741939</v>
      </c>
      <c r="E31" s="4">
        <v>58.926967741935485</v>
      </c>
      <c r="F31" s="4">
        <v>59.963419354838706</v>
      </c>
      <c r="G31" s="4">
        <v>61.051693548387107</v>
      </c>
      <c r="H31" s="4">
        <v>62.194381451612912</v>
      </c>
      <c r="I31" s="9">
        <v>63.394203750000003</v>
      </c>
      <c r="J31" s="30">
        <v>58.133419354838708</v>
      </c>
      <c r="K31" s="4">
        <v>59.130193548387105</v>
      </c>
      <c r="L31" s="4">
        <v>60.176806451612904</v>
      </c>
      <c r="M31" s="4">
        <v>61.275750000000009</v>
      </c>
      <c r="N31" s="4">
        <v>62.429640725806465</v>
      </c>
      <c r="O31" s="5">
        <v>63.64122598790324</v>
      </c>
      <c r="P31" s="7">
        <v>58.326967741935491</v>
      </c>
      <c r="Q31" s="4">
        <v>59.333419354838718</v>
      </c>
      <c r="R31" s="4">
        <v>60.39019354838711</v>
      </c>
      <c r="S31" s="4">
        <v>61.499806451612912</v>
      </c>
      <c r="T31" s="4">
        <v>62.664900000000017</v>
      </c>
      <c r="U31" s="5">
        <v>63.888248225806471</v>
      </c>
      <c r="V31" s="7">
        <v>58.133419354838708</v>
      </c>
      <c r="W31" s="4">
        <v>59.130193548387105</v>
      </c>
      <c r="X31" s="4">
        <v>60.176806451612904</v>
      </c>
      <c r="Y31" s="4">
        <v>61.275750000000009</v>
      </c>
      <c r="Z31" s="4">
        <v>62.429640725806465</v>
      </c>
      <c r="AA31" s="5">
        <v>63.64122598790324</v>
      </c>
      <c r="AB31" s="7">
        <v>58.326967741935491</v>
      </c>
      <c r="AC31" s="4">
        <v>59.333419354838718</v>
      </c>
      <c r="AD31" s="4">
        <v>60.39019354838711</v>
      </c>
      <c r="AE31" s="4">
        <v>61.499806451612912</v>
      </c>
      <c r="AF31" s="4">
        <v>63.94650290322582</v>
      </c>
      <c r="AG31" s="5">
        <v>65.233931274193566</v>
      </c>
      <c r="AH31" s="7">
        <v>58.326967741935491</v>
      </c>
      <c r="AI31" s="4">
        <v>59.333419354838718</v>
      </c>
      <c r="AJ31" s="4">
        <v>60.39019354838711</v>
      </c>
      <c r="AK31" s="4">
        <v>61.499806451612912</v>
      </c>
      <c r="AL31" s="4">
        <v>62.664900000000017</v>
      </c>
      <c r="AM31" s="5">
        <v>63.888248225806471</v>
      </c>
      <c r="AN31" s="7">
        <v>58.326967741935491</v>
      </c>
      <c r="AO31" s="4">
        <v>59.333419354838718</v>
      </c>
      <c r="AP31" s="4">
        <v>60.39019354838711</v>
      </c>
      <c r="AQ31" s="4">
        <v>61.499806451612912</v>
      </c>
      <c r="AR31" s="4">
        <v>62.664900000000017</v>
      </c>
      <c r="AS31" s="5">
        <v>63.888248225806471</v>
      </c>
      <c r="AT31" s="7">
        <v>58.133419354838708</v>
      </c>
      <c r="AU31" s="4">
        <v>59.130193548387105</v>
      </c>
      <c r="AV31" s="4">
        <v>60.176806451612904</v>
      </c>
      <c r="AW31" s="4">
        <v>61.275750000000009</v>
      </c>
      <c r="AX31" s="4">
        <v>62.429640725806465</v>
      </c>
      <c r="AY31" s="5">
        <v>63.64122598790324</v>
      </c>
      <c r="AZ31" s="7">
        <v>58.133419354838708</v>
      </c>
      <c r="BA31" s="4">
        <v>59.130193548387105</v>
      </c>
      <c r="BB31" s="4">
        <v>60.176806451612904</v>
      </c>
      <c r="BC31" s="4">
        <v>61.275750000000009</v>
      </c>
      <c r="BD31" s="4">
        <v>62.429640725806465</v>
      </c>
      <c r="BE31" s="5">
        <v>63.64122598790324</v>
      </c>
      <c r="BF31" s="7">
        <v>58.133419354838708</v>
      </c>
      <c r="BG31" s="4">
        <v>59.130193548387105</v>
      </c>
      <c r="BH31" s="4">
        <v>60.176806451612904</v>
      </c>
      <c r="BI31" s="4">
        <v>61.275750000000009</v>
      </c>
      <c r="BJ31" s="4">
        <v>62.429640725806465</v>
      </c>
      <c r="BK31" s="5">
        <v>63.64122598790324</v>
      </c>
      <c r="BL31" s="7">
        <v>58.133419354838708</v>
      </c>
      <c r="BM31" s="4">
        <v>59.130193548387105</v>
      </c>
      <c r="BN31" s="4">
        <v>60.176806451612904</v>
      </c>
      <c r="BO31" s="4">
        <v>61.275750000000009</v>
      </c>
      <c r="BP31" s="4">
        <v>62.429640725806465</v>
      </c>
      <c r="BQ31" s="5">
        <v>63.64122598790324</v>
      </c>
      <c r="BR31" s="7">
        <v>58.133419354838708</v>
      </c>
      <c r="BS31" s="4">
        <v>59.130193548387105</v>
      </c>
      <c r="BT31" s="4">
        <v>60.176806451612904</v>
      </c>
      <c r="BU31" s="4">
        <v>61.275750000000009</v>
      </c>
      <c r="BV31" s="4">
        <v>62.429640725806465</v>
      </c>
      <c r="BW31" s="5">
        <v>63.64122598790324</v>
      </c>
      <c r="BX31" s="7">
        <v>58.133419354838708</v>
      </c>
      <c r="BY31" s="4">
        <v>59.130193548387105</v>
      </c>
      <c r="BZ31" s="4">
        <v>60.176806451612904</v>
      </c>
      <c r="CA31" s="4">
        <v>61.275750000000009</v>
      </c>
      <c r="CB31" s="4">
        <v>62.429640725806465</v>
      </c>
      <c r="CC31" s="5">
        <v>63.64122598790324</v>
      </c>
      <c r="CD31" s="7">
        <v>58.133419354838708</v>
      </c>
      <c r="CE31" s="4">
        <v>59.130193548387105</v>
      </c>
      <c r="CF31" s="4">
        <v>60.176806451612904</v>
      </c>
      <c r="CG31" s="4">
        <v>61.275750000000009</v>
      </c>
      <c r="CH31" s="4">
        <v>62.429640725806465</v>
      </c>
      <c r="CI31" s="5">
        <v>63.64122598790324</v>
      </c>
      <c r="CJ31" s="7">
        <v>58.133419354838708</v>
      </c>
      <c r="CK31" s="4">
        <v>59.130193548387105</v>
      </c>
      <c r="CL31" s="4">
        <v>60.176806451612904</v>
      </c>
      <c r="CM31" s="4">
        <v>61.275750000000009</v>
      </c>
      <c r="CN31" s="4">
        <v>62.429640725806465</v>
      </c>
      <c r="CO31" s="5">
        <v>63.64122598790324</v>
      </c>
      <c r="CP31" s="7">
        <v>58.133419354838708</v>
      </c>
      <c r="CQ31" s="4">
        <v>59.130193548387105</v>
      </c>
      <c r="CR31" s="4">
        <v>60.176806451612904</v>
      </c>
      <c r="CS31" s="4">
        <v>61.275750000000009</v>
      </c>
      <c r="CT31" s="4">
        <v>62.429640725806465</v>
      </c>
      <c r="CU31" s="5">
        <v>63.64122598790324</v>
      </c>
      <c r="CV31" s="7">
        <v>43.338352941176474</v>
      </c>
      <c r="CW31" s="4">
        <v>44.065411764705885</v>
      </c>
      <c r="CX31" s="4">
        <v>44.828823529411764</v>
      </c>
      <c r="CY31" s="4">
        <v>45.630405882352946</v>
      </c>
      <c r="CZ31" s="4">
        <v>46.472067352941188</v>
      </c>
      <c r="DA31" s="5">
        <v>47.355811897058835</v>
      </c>
      <c r="DB31" s="7">
        <v>44.608941176470594</v>
      </c>
      <c r="DC31" s="4">
        <v>45.399529411764711</v>
      </c>
      <c r="DD31" s="4">
        <v>46.229647058823538</v>
      </c>
      <c r="DE31" s="4">
        <v>48.844517647058836</v>
      </c>
      <c r="DF31" s="4">
        <v>51.851618823529421</v>
      </c>
      <c r="DG31" s="5">
        <v>55.309785176470591</v>
      </c>
      <c r="DH31" s="7">
        <v>44.608941176470594</v>
      </c>
      <c r="DI31" s="4">
        <v>45.399529411764711</v>
      </c>
      <c r="DJ31" s="4">
        <v>46.229647058823538</v>
      </c>
      <c r="DK31" s="4">
        <v>48.844517647058836</v>
      </c>
      <c r="DL31" s="4">
        <v>51.851618823529421</v>
      </c>
      <c r="DM31" s="6">
        <v>55.309785176470591</v>
      </c>
      <c r="DN31" s="8">
        <v>53.084640000000007</v>
      </c>
      <c r="DO31" s="4">
        <v>54.933430588235296</v>
      </c>
      <c r="DP31" s="4">
        <v>55.937872941176479</v>
      </c>
      <c r="DQ31" s="4">
        <v>59.101866352941187</v>
      </c>
      <c r="DR31" s="6">
        <v>61.703426400000019</v>
      </c>
      <c r="DS31" s="9">
        <v>64.712448656470599</v>
      </c>
      <c r="DT31" s="8">
        <v>63.701568000000009</v>
      </c>
      <c r="DU31" s="4">
        <v>65.92011670588235</v>
      </c>
      <c r="DV31" s="4">
        <v>67.125447529411773</v>
      </c>
      <c r="DW31" s="4">
        <v>69.149183632941188</v>
      </c>
      <c r="DX31" s="6">
        <v>73.427077416000031</v>
      </c>
      <c r="DY31" s="9">
        <v>77.007813901200009</v>
      </c>
      <c r="DZ31" s="8">
        <v>63.701568000000009</v>
      </c>
      <c r="EA31" s="4">
        <v>65.92011670588235</v>
      </c>
      <c r="EB31" s="4">
        <v>67.125447529411773</v>
      </c>
      <c r="EC31" s="4">
        <v>69.149183632941188</v>
      </c>
      <c r="ED31" s="6">
        <v>73.427077416000031</v>
      </c>
      <c r="EE31" s="9">
        <v>77.007813901200009</v>
      </c>
      <c r="EF31" s="7">
        <v>44.608941176470594</v>
      </c>
      <c r="EG31" s="4">
        <v>45.399529411764711</v>
      </c>
      <c r="EH31" s="4">
        <v>46.229647058823538</v>
      </c>
      <c r="EI31" s="4">
        <v>48.844517647058836</v>
      </c>
      <c r="EJ31" s="4">
        <v>51.851618823529421</v>
      </c>
      <c r="EK31" s="5">
        <v>55.309785176470591</v>
      </c>
      <c r="EL31" s="14">
        <v>58.133419354838708</v>
      </c>
      <c r="EM31" s="7">
        <v>58.326967741935491</v>
      </c>
      <c r="EN31" s="4">
        <v>59.333419354838718</v>
      </c>
      <c r="EO31" s="4">
        <v>60.39019354838711</v>
      </c>
      <c r="EP31" s="4">
        <v>62.609419354838721</v>
      </c>
      <c r="EQ31" s="4">
        <v>65.050567741935495</v>
      </c>
      <c r="ER31" s="5">
        <v>67.735830967741961</v>
      </c>
      <c r="ES31" s="7">
        <v>58.326967741935491</v>
      </c>
      <c r="ET31" s="4">
        <v>59.333419354838718</v>
      </c>
      <c r="EU31" s="4">
        <v>60.39019354838711</v>
      </c>
      <c r="EV31" s="4">
        <v>62.609419354838721</v>
      </c>
      <c r="EW31" s="4">
        <v>65.050567741935495</v>
      </c>
      <c r="EX31" s="5">
        <v>67.735830967741961</v>
      </c>
      <c r="EY31" s="7">
        <v>59.87535483870969</v>
      </c>
      <c r="EZ31" s="4">
        <v>60.95922580645162</v>
      </c>
      <c r="FA31" s="4">
        <v>62.097290322580655</v>
      </c>
      <c r="FB31" s="4">
        <v>65.682193548387119</v>
      </c>
      <c r="FC31" s="4">
        <v>69.804832258064522</v>
      </c>
      <c r="FD31" s="5">
        <v>74.545866774193556</v>
      </c>
    </row>
    <row r="32" spans="2:160" x14ac:dyDescent="0.3">
      <c r="B32" s="2">
        <v>18.001000000000001</v>
      </c>
      <c r="C32" s="3">
        <v>19</v>
      </c>
      <c r="D32" s="8">
        <v>60.359225806451619</v>
      </c>
      <c r="E32" s="4">
        <v>61.394709677419357</v>
      </c>
      <c r="F32" s="4">
        <v>62.481967741935492</v>
      </c>
      <c r="G32" s="4">
        <v>63.623588709677421</v>
      </c>
      <c r="H32" s="4">
        <v>64.822290725806454</v>
      </c>
      <c r="I32" s="9">
        <v>66.080927842741957</v>
      </c>
      <c r="J32" s="30">
        <v>60.552774193548387</v>
      </c>
      <c r="K32" s="4">
        <v>61.59793548387097</v>
      </c>
      <c r="L32" s="4">
        <v>62.69535483870969</v>
      </c>
      <c r="M32" s="4">
        <v>63.84764516129033</v>
      </c>
      <c r="N32" s="4">
        <v>65.057550000000006</v>
      </c>
      <c r="O32" s="5">
        <v>66.327950080645167</v>
      </c>
      <c r="P32" s="7">
        <v>60.746322580645163</v>
      </c>
      <c r="Q32" s="4">
        <v>61.801161290322582</v>
      </c>
      <c r="R32" s="4">
        <v>62.908741935483874</v>
      </c>
      <c r="S32" s="4">
        <v>64.07170161290324</v>
      </c>
      <c r="T32" s="4">
        <v>65.292809274193559</v>
      </c>
      <c r="U32" s="5">
        <v>66.57497231854839</v>
      </c>
      <c r="V32" s="7">
        <v>60.552774193548387</v>
      </c>
      <c r="W32" s="4">
        <v>61.59793548387097</v>
      </c>
      <c r="X32" s="4">
        <v>62.69535483870969</v>
      </c>
      <c r="Y32" s="4">
        <v>63.84764516129033</v>
      </c>
      <c r="Z32" s="4">
        <v>65.057550000000006</v>
      </c>
      <c r="AA32" s="5">
        <v>66.327950080645167</v>
      </c>
      <c r="AB32" s="7">
        <v>60.746322580645163</v>
      </c>
      <c r="AC32" s="4">
        <v>61.801161290322582</v>
      </c>
      <c r="AD32" s="4">
        <v>62.908741935483874</v>
      </c>
      <c r="AE32" s="4">
        <v>64.07170161290324</v>
      </c>
      <c r="AF32" s="4">
        <v>66.636027701612917</v>
      </c>
      <c r="AG32" s="5">
        <v>67.985351667338733</v>
      </c>
      <c r="AH32" s="7">
        <v>60.746322580645163</v>
      </c>
      <c r="AI32" s="4">
        <v>61.801161290322582</v>
      </c>
      <c r="AJ32" s="4">
        <v>62.908741935483874</v>
      </c>
      <c r="AK32" s="4">
        <v>64.07170161290324</v>
      </c>
      <c r="AL32" s="4">
        <v>65.292809274193559</v>
      </c>
      <c r="AM32" s="5">
        <v>66.57497231854839</v>
      </c>
      <c r="AN32" s="7">
        <v>60.746322580645163</v>
      </c>
      <c r="AO32" s="4">
        <v>61.801161290322582</v>
      </c>
      <c r="AP32" s="4">
        <v>62.908741935483874</v>
      </c>
      <c r="AQ32" s="4">
        <v>64.07170161290324</v>
      </c>
      <c r="AR32" s="4">
        <v>65.292809274193559</v>
      </c>
      <c r="AS32" s="5">
        <v>66.57497231854839</v>
      </c>
      <c r="AT32" s="7">
        <v>60.552774193548387</v>
      </c>
      <c r="AU32" s="4">
        <v>61.59793548387097</v>
      </c>
      <c r="AV32" s="4">
        <v>62.69535483870969</v>
      </c>
      <c r="AW32" s="4">
        <v>63.84764516129033</v>
      </c>
      <c r="AX32" s="4">
        <v>65.057550000000006</v>
      </c>
      <c r="AY32" s="5">
        <v>66.327950080645167</v>
      </c>
      <c r="AZ32" s="7">
        <v>60.552774193548387</v>
      </c>
      <c r="BA32" s="4">
        <v>61.59793548387097</v>
      </c>
      <c r="BB32" s="4">
        <v>62.69535483870969</v>
      </c>
      <c r="BC32" s="4">
        <v>63.84764516129033</v>
      </c>
      <c r="BD32" s="4">
        <v>65.057550000000006</v>
      </c>
      <c r="BE32" s="5">
        <v>66.327950080645167</v>
      </c>
      <c r="BF32" s="7">
        <v>60.552774193548387</v>
      </c>
      <c r="BG32" s="4">
        <v>61.59793548387097</v>
      </c>
      <c r="BH32" s="4">
        <v>62.69535483870969</v>
      </c>
      <c r="BI32" s="4">
        <v>63.84764516129033</v>
      </c>
      <c r="BJ32" s="4">
        <v>65.057550000000006</v>
      </c>
      <c r="BK32" s="5">
        <v>66.327950080645167</v>
      </c>
      <c r="BL32" s="7">
        <v>60.552774193548387</v>
      </c>
      <c r="BM32" s="4">
        <v>61.59793548387097</v>
      </c>
      <c r="BN32" s="4">
        <v>62.69535483870969</v>
      </c>
      <c r="BO32" s="4">
        <v>63.84764516129033</v>
      </c>
      <c r="BP32" s="4">
        <v>65.057550000000006</v>
      </c>
      <c r="BQ32" s="5">
        <v>66.327950080645167</v>
      </c>
      <c r="BR32" s="7">
        <v>60.552774193548387</v>
      </c>
      <c r="BS32" s="4">
        <v>61.59793548387097</v>
      </c>
      <c r="BT32" s="4">
        <v>62.69535483870969</v>
      </c>
      <c r="BU32" s="4">
        <v>63.84764516129033</v>
      </c>
      <c r="BV32" s="4">
        <v>65.057550000000006</v>
      </c>
      <c r="BW32" s="5">
        <v>66.327950080645167</v>
      </c>
      <c r="BX32" s="7">
        <v>60.552774193548387</v>
      </c>
      <c r="BY32" s="4">
        <v>61.59793548387097</v>
      </c>
      <c r="BZ32" s="4">
        <v>62.69535483870969</v>
      </c>
      <c r="CA32" s="4">
        <v>63.84764516129033</v>
      </c>
      <c r="CB32" s="4">
        <v>65.057550000000006</v>
      </c>
      <c r="CC32" s="5">
        <v>66.327950080645167</v>
      </c>
      <c r="CD32" s="7">
        <v>60.552774193548387</v>
      </c>
      <c r="CE32" s="4">
        <v>61.59793548387097</v>
      </c>
      <c r="CF32" s="4">
        <v>62.69535483870969</v>
      </c>
      <c r="CG32" s="4">
        <v>63.84764516129033</v>
      </c>
      <c r="CH32" s="4">
        <v>65.057550000000006</v>
      </c>
      <c r="CI32" s="5">
        <v>66.327950080645167</v>
      </c>
      <c r="CJ32" s="7">
        <v>60.552774193548387</v>
      </c>
      <c r="CK32" s="4">
        <v>61.59793548387097</v>
      </c>
      <c r="CL32" s="4">
        <v>62.69535483870969</v>
      </c>
      <c r="CM32" s="4">
        <v>63.84764516129033</v>
      </c>
      <c r="CN32" s="4">
        <v>65.057550000000006</v>
      </c>
      <c r="CO32" s="5">
        <v>66.327950080645167</v>
      </c>
      <c r="CP32" s="7">
        <v>60.552774193548387</v>
      </c>
      <c r="CQ32" s="4">
        <v>61.59793548387097</v>
      </c>
      <c r="CR32" s="4">
        <v>62.69535483870969</v>
      </c>
      <c r="CS32" s="4">
        <v>63.84764516129033</v>
      </c>
      <c r="CT32" s="4">
        <v>65.057550000000006</v>
      </c>
      <c r="CU32" s="5">
        <v>66.327950080645167</v>
      </c>
      <c r="CV32" s="7">
        <v>45.103058823529409</v>
      </c>
      <c r="CW32" s="4">
        <v>45.86541176470589</v>
      </c>
      <c r="CX32" s="4">
        <v>46.665882352941189</v>
      </c>
      <c r="CY32" s="4">
        <v>47.506376470588236</v>
      </c>
      <c r="CZ32" s="4">
        <v>48.388895294117646</v>
      </c>
      <c r="DA32" s="5">
        <v>49.315540058823544</v>
      </c>
      <c r="DB32" s="7">
        <v>46.373647058823536</v>
      </c>
      <c r="DC32" s="4">
        <v>47.199529411764715</v>
      </c>
      <c r="DD32" s="4">
        <v>48.066705882352949</v>
      </c>
      <c r="DE32" s="4">
        <v>50.798311764705886</v>
      </c>
      <c r="DF32" s="4">
        <v>53.939658529411773</v>
      </c>
      <c r="DG32" s="5">
        <v>57.552207308823533</v>
      </c>
      <c r="DH32" s="7">
        <v>46.373647058823536</v>
      </c>
      <c r="DI32" s="4">
        <v>47.199529411764715</v>
      </c>
      <c r="DJ32" s="4">
        <v>48.066705882352949</v>
      </c>
      <c r="DK32" s="4">
        <v>50.798311764705886</v>
      </c>
      <c r="DL32" s="4">
        <v>53.939658529411773</v>
      </c>
      <c r="DM32" s="6">
        <v>57.552207308823533</v>
      </c>
      <c r="DN32" s="8">
        <v>55.184640000000002</v>
      </c>
      <c r="DO32" s="4">
        <v>57.111430588235308</v>
      </c>
      <c r="DP32" s="4">
        <v>58.160714117647068</v>
      </c>
      <c r="DQ32" s="4">
        <v>61.46595723529412</v>
      </c>
      <c r="DR32" s="6">
        <v>64.188193650000017</v>
      </c>
      <c r="DS32" s="9">
        <v>67.336082551323528</v>
      </c>
      <c r="DT32" s="8">
        <v>66.221568000000005</v>
      </c>
      <c r="DU32" s="4">
        <v>68.53371670588237</v>
      </c>
      <c r="DV32" s="4">
        <v>69.792856941176481</v>
      </c>
      <c r="DW32" s="4">
        <v>71.915169965294126</v>
      </c>
      <c r="DX32" s="6">
        <v>76.383950443500026</v>
      </c>
      <c r="DY32" s="9">
        <v>80.129938236075006</v>
      </c>
      <c r="DZ32" s="8">
        <v>66.221568000000005</v>
      </c>
      <c r="EA32" s="4">
        <v>68.53371670588237</v>
      </c>
      <c r="EB32" s="4">
        <v>69.792856941176481</v>
      </c>
      <c r="EC32" s="4">
        <v>71.915169965294126</v>
      </c>
      <c r="ED32" s="6">
        <v>76.383950443500026</v>
      </c>
      <c r="EE32" s="9">
        <v>80.129938236075006</v>
      </c>
      <c r="EF32" s="7">
        <v>46.373647058823536</v>
      </c>
      <c r="EG32" s="4">
        <v>47.199529411764715</v>
      </c>
      <c r="EH32" s="4">
        <v>48.066705882352949</v>
      </c>
      <c r="EI32" s="4">
        <v>50.798311764705886</v>
      </c>
      <c r="EJ32" s="4">
        <v>53.939658529411773</v>
      </c>
      <c r="EK32" s="5">
        <v>57.552207308823533</v>
      </c>
      <c r="EL32" s="14">
        <v>60.552774193548387</v>
      </c>
      <c r="EM32" s="7">
        <v>60.746322580645163</v>
      </c>
      <c r="EN32" s="4">
        <v>61.801161290322582</v>
      </c>
      <c r="EO32" s="4">
        <v>62.908741935483874</v>
      </c>
      <c r="EP32" s="4">
        <v>65.234661290322592</v>
      </c>
      <c r="EQ32" s="4">
        <v>67.793172580645177</v>
      </c>
      <c r="ER32" s="5">
        <v>70.607535000000013</v>
      </c>
      <c r="ES32" s="7">
        <v>60.746322580645163</v>
      </c>
      <c r="ET32" s="4">
        <v>61.801161290322582</v>
      </c>
      <c r="EU32" s="4">
        <v>62.908741935483874</v>
      </c>
      <c r="EV32" s="4">
        <v>65.234661290322592</v>
      </c>
      <c r="EW32" s="4">
        <v>67.793172580645177</v>
      </c>
      <c r="EX32" s="5">
        <v>70.607535000000013</v>
      </c>
      <c r="EY32" s="7">
        <v>62.294709677419362</v>
      </c>
      <c r="EZ32" s="4">
        <v>63.426967741935499</v>
      </c>
      <c r="FA32" s="4">
        <v>64.615838709677433</v>
      </c>
      <c r="FB32" s="4">
        <v>68.360782258064518</v>
      </c>
      <c r="FC32" s="4">
        <v>72.667467338709685</v>
      </c>
      <c r="FD32" s="5">
        <v>77.620155181451622</v>
      </c>
    </row>
    <row r="33" spans="2:160" x14ac:dyDescent="0.3">
      <c r="B33" s="2">
        <v>19.001000000000001</v>
      </c>
      <c r="C33" s="3">
        <v>20</v>
      </c>
      <c r="D33" s="8">
        <v>62.778580645161298</v>
      </c>
      <c r="E33" s="4">
        <v>63.862451612903236</v>
      </c>
      <c r="F33" s="4">
        <v>65.000516129032263</v>
      </c>
      <c r="G33" s="4">
        <v>66.195483870967749</v>
      </c>
      <c r="H33" s="4">
        <v>67.450200000000009</v>
      </c>
      <c r="I33" s="9">
        <v>68.767651935483883</v>
      </c>
      <c r="J33" s="30">
        <v>62.972129032258067</v>
      </c>
      <c r="K33" s="4">
        <v>64.065677419354842</v>
      </c>
      <c r="L33" s="4">
        <v>65.213903225806462</v>
      </c>
      <c r="M33" s="4">
        <v>66.419540322580673</v>
      </c>
      <c r="N33" s="4">
        <v>67.685459274193562</v>
      </c>
      <c r="O33" s="5">
        <v>69.014674173387121</v>
      </c>
      <c r="P33" s="7">
        <v>63.165677419354843</v>
      </c>
      <c r="Q33" s="4">
        <v>64.268903225806454</v>
      </c>
      <c r="R33" s="4">
        <v>65.42729032258066</v>
      </c>
      <c r="S33" s="4">
        <v>66.643596774193554</v>
      </c>
      <c r="T33" s="4">
        <v>67.920718548387129</v>
      </c>
      <c r="U33" s="5">
        <v>69.261696411290345</v>
      </c>
      <c r="V33" s="7">
        <v>62.972129032258067</v>
      </c>
      <c r="W33" s="4">
        <v>64.065677419354842</v>
      </c>
      <c r="X33" s="4">
        <v>65.213903225806462</v>
      </c>
      <c r="Y33" s="4">
        <v>66.419540322580673</v>
      </c>
      <c r="Z33" s="4">
        <v>67.685459274193562</v>
      </c>
      <c r="AA33" s="5">
        <v>69.014674173387121</v>
      </c>
      <c r="AB33" s="7">
        <v>63.165677419354843</v>
      </c>
      <c r="AC33" s="4">
        <v>64.268903225806454</v>
      </c>
      <c r="AD33" s="4">
        <v>65.42729032258066</v>
      </c>
      <c r="AE33" s="4">
        <v>66.643596774193554</v>
      </c>
      <c r="AF33" s="4">
        <v>69.325552500000029</v>
      </c>
      <c r="AG33" s="5">
        <v>70.736772060483887</v>
      </c>
      <c r="AH33" s="7">
        <v>63.165677419354843</v>
      </c>
      <c r="AI33" s="4">
        <v>64.268903225806454</v>
      </c>
      <c r="AJ33" s="4">
        <v>65.42729032258066</v>
      </c>
      <c r="AK33" s="4">
        <v>66.643596774193554</v>
      </c>
      <c r="AL33" s="4">
        <v>67.920718548387129</v>
      </c>
      <c r="AM33" s="5">
        <v>69.261696411290345</v>
      </c>
      <c r="AN33" s="7">
        <v>63.165677419354843</v>
      </c>
      <c r="AO33" s="4">
        <v>64.268903225806454</v>
      </c>
      <c r="AP33" s="4">
        <v>65.42729032258066</v>
      </c>
      <c r="AQ33" s="4">
        <v>66.643596774193554</v>
      </c>
      <c r="AR33" s="4">
        <v>67.920718548387129</v>
      </c>
      <c r="AS33" s="5">
        <v>69.261696411290345</v>
      </c>
      <c r="AT33" s="7">
        <v>62.972129032258067</v>
      </c>
      <c r="AU33" s="4">
        <v>64.065677419354842</v>
      </c>
      <c r="AV33" s="4">
        <v>65.213903225806462</v>
      </c>
      <c r="AW33" s="4">
        <v>66.419540322580673</v>
      </c>
      <c r="AX33" s="4">
        <v>67.685459274193562</v>
      </c>
      <c r="AY33" s="5">
        <v>69.014674173387121</v>
      </c>
      <c r="AZ33" s="7">
        <v>62.972129032258067</v>
      </c>
      <c r="BA33" s="4">
        <v>64.065677419354842</v>
      </c>
      <c r="BB33" s="4">
        <v>65.213903225806462</v>
      </c>
      <c r="BC33" s="4">
        <v>66.419540322580673</v>
      </c>
      <c r="BD33" s="4">
        <v>67.685459274193562</v>
      </c>
      <c r="BE33" s="5">
        <v>69.014674173387121</v>
      </c>
      <c r="BF33" s="7">
        <v>62.972129032258067</v>
      </c>
      <c r="BG33" s="4">
        <v>64.065677419354842</v>
      </c>
      <c r="BH33" s="4">
        <v>65.213903225806462</v>
      </c>
      <c r="BI33" s="4">
        <v>66.419540322580673</v>
      </c>
      <c r="BJ33" s="4">
        <v>67.685459274193562</v>
      </c>
      <c r="BK33" s="5">
        <v>69.014674173387121</v>
      </c>
      <c r="BL33" s="7">
        <v>62.972129032258067</v>
      </c>
      <c r="BM33" s="4">
        <v>64.065677419354842</v>
      </c>
      <c r="BN33" s="4">
        <v>65.213903225806462</v>
      </c>
      <c r="BO33" s="4">
        <v>66.419540322580673</v>
      </c>
      <c r="BP33" s="4">
        <v>67.685459274193562</v>
      </c>
      <c r="BQ33" s="5">
        <v>69.014674173387121</v>
      </c>
      <c r="BR33" s="7">
        <v>62.972129032258067</v>
      </c>
      <c r="BS33" s="4">
        <v>64.065677419354842</v>
      </c>
      <c r="BT33" s="4">
        <v>65.213903225806462</v>
      </c>
      <c r="BU33" s="4">
        <v>66.419540322580673</v>
      </c>
      <c r="BV33" s="4">
        <v>67.685459274193562</v>
      </c>
      <c r="BW33" s="5">
        <v>69.014674173387121</v>
      </c>
      <c r="BX33" s="7">
        <v>62.972129032258067</v>
      </c>
      <c r="BY33" s="4">
        <v>64.065677419354842</v>
      </c>
      <c r="BZ33" s="4">
        <v>65.213903225806462</v>
      </c>
      <c r="CA33" s="4">
        <v>66.419540322580673</v>
      </c>
      <c r="CB33" s="4">
        <v>67.685459274193562</v>
      </c>
      <c r="CC33" s="5">
        <v>69.014674173387121</v>
      </c>
      <c r="CD33" s="7">
        <v>62.972129032258067</v>
      </c>
      <c r="CE33" s="4">
        <v>64.065677419354842</v>
      </c>
      <c r="CF33" s="4">
        <v>65.213903225806462</v>
      </c>
      <c r="CG33" s="4">
        <v>66.419540322580673</v>
      </c>
      <c r="CH33" s="4">
        <v>67.685459274193562</v>
      </c>
      <c r="CI33" s="5">
        <v>69.014674173387121</v>
      </c>
      <c r="CJ33" s="7">
        <v>62.972129032258067</v>
      </c>
      <c r="CK33" s="4">
        <v>64.065677419354842</v>
      </c>
      <c r="CL33" s="4">
        <v>65.213903225806462</v>
      </c>
      <c r="CM33" s="4">
        <v>66.419540322580673</v>
      </c>
      <c r="CN33" s="4">
        <v>67.685459274193562</v>
      </c>
      <c r="CO33" s="5">
        <v>69.014674173387121</v>
      </c>
      <c r="CP33" s="7">
        <v>62.972129032258067</v>
      </c>
      <c r="CQ33" s="4">
        <v>64.065677419354842</v>
      </c>
      <c r="CR33" s="4">
        <v>65.213903225806462</v>
      </c>
      <c r="CS33" s="4">
        <v>66.419540322580673</v>
      </c>
      <c r="CT33" s="4">
        <v>67.685459274193562</v>
      </c>
      <c r="CU33" s="5">
        <v>69.014674173387121</v>
      </c>
      <c r="CV33" s="7">
        <v>46.867764705882358</v>
      </c>
      <c r="CW33" s="4">
        <v>47.665411764705887</v>
      </c>
      <c r="CX33" s="4">
        <v>48.5029411764706</v>
      </c>
      <c r="CY33" s="4">
        <v>49.382347058823541</v>
      </c>
      <c r="CZ33" s="4">
        <v>50.305723235294124</v>
      </c>
      <c r="DA33" s="5">
        <v>51.275268220588245</v>
      </c>
      <c r="DB33" s="7">
        <v>48.138352941176478</v>
      </c>
      <c r="DC33" s="4">
        <v>48.999529411764719</v>
      </c>
      <c r="DD33" s="4">
        <v>49.903764705882367</v>
      </c>
      <c r="DE33" s="4">
        <v>52.75210588235295</v>
      </c>
      <c r="DF33" s="4">
        <v>56.027698235294125</v>
      </c>
      <c r="DG33" s="5">
        <v>59.794629441176482</v>
      </c>
      <c r="DH33" s="7">
        <v>48.138352941176478</v>
      </c>
      <c r="DI33" s="4">
        <v>48.999529411764719</v>
      </c>
      <c r="DJ33" s="4">
        <v>49.903764705882367</v>
      </c>
      <c r="DK33" s="4">
        <v>52.75210588235295</v>
      </c>
      <c r="DL33" s="4">
        <v>56.027698235294125</v>
      </c>
      <c r="DM33" s="6">
        <v>59.794629441176482</v>
      </c>
      <c r="DN33" s="8">
        <v>57.28464000000001</v>
      </c>
      <c r="DO33" s="4">
        <v>59.289430588235305</v>
      </c>
      <c r="DP33" s="4">
        <v>60.38355529411767</v>
      </c>
      <c r="DQ33" s="4">
        <v>63.83004811764706</v>
      </c>
      <c r="DR33" s="6">
        <v>66.672960900000021</v>
      </c>
      <c r="DS33" s="9">
        <v>69.959716446176486</v>
      </c>
      <c r="DT33" s="8">
        <v>68.741568000000015</v>
      </c>
      <c r="DU33" s="4">
        <v>71.147316705882361</v>
      </c>
      <c r="DV33" s="4">
        <v>72.460266352941204</v>
      </c>
      <c r="DW33" s="4">
        <v>74.681156297647064</v>
      </c>
      <c r="DX33" s="6">
        <v>79.340823471000007</v>
      </c>
      <c r="DY33" s="9">
        <v>83.252062570950017</v>
      </c>
      <c r="DZ33" s="8">
        <v>68.741568000000015</v>
      </c>
      <c r="EA33" s="4">
        <v>71.147316705882361</v>
      </c>
      <c r="EB33" s="4">
        <v>72.460266352941204</v>
      </c>
      <c r="EC33" s="4">
        <v>74.681156297647064</v>
      </c>
      <c r="ED33" s="6">
        <v>79.340823471000007</v>
      </c>
      <c r="EE33" s="9">
        <v>83.252062570950017</v>
      </c>
      <c r="EF33" s="7">
        <v>48.138352941176478</v>
      </c>
      <c r="EG33" s="4">
        <v>48.999529411764719</v>
      </c>
      <c r="EH33" s="4">
        <v>49.903764705882367</v>
      </c>
      <c r="EI33" s="4">
        <v>52.75210588235295</v>
      </c>
      <c r="EJ33" s="4">
        <v>56.027698235294125</v>
      </c>
      <c r="EK33" s="5">
        <v>59.794629441176482</v>
      </c>
      <c r="EL33" s="14">
        <v>62.972129032258067</v>
      </c>
      <c r="EM33" s="7">
        <v>63.165677419354843</v>
      </c>
      <c r="EN33" s="4">
        <v>64.268903225806454</v>
      </c>
      <c r="EO33" s="4">
        <v>65.42729032258066</v>
      </c>
      <c r="EP33" s="4">
        <v>67.859903225806477</v>
      </c>
      <c r="EQ33" s="4">
        <v>70.535777419354858</v>
      </c>
      <c r="ER33" s="5">
        <v>73.479239032258093</v>
      </c>
      <c r="ES33" s="7">
        <v>63.165677419354843</v>
      </c>
      <c r="ET33" s="4">
        <v>64.268903225806454</v>
      </c>
      <c r="EU33" s="4">
        <v>65.42729032258066</v>
      </c>
      <c r="EV33" s="4">
        <v>67.859903225806477</v>
      </c>
      <c r="EW33" s="4">
        <v>70.535777419354858</v>
      </c>
      <c r="EX33" s="5">
        <v>73.479239032258093</v>
      </c>
      <c r="EY33" s="7">
        <v>64.714064516129042</v>
      </c>
      <c r="EZ33" s="4">
        <v>65.894709677419371</v>
      </c>
      <c r="FA33" s="4">
        <v>67.134387096774219</v>
      </c>
      <c r="FB33" s="4">
        <v>71.039370967741945</v>
      </c>
      <c r="FC33" s="4">
        <v>75.530102419354847</v>
      </c>
      <c r="FD33" s="5">
        <v>80.694443588709674</v>
      </c>
    </row>
    <row r="34" spans="2:160" x14ac:dyDescent="0.3">
      <c r="B34" s="2">
        <v>20.001000000000001</v>
      </c>
      <c r="C34" s="3">
        <v>21</v>
      </c>
      <c r="D34" s="8">
        <v>66.16567741935485</v>
      </c>
      <c r="E34" s="4">
        <v>67.346322580645193</v>
      </c>
      <c r="F34" s="4">
        <v>68.586000000000013</v>
      </c>
      <c r="G34" s="4">
        <v>69.887661290322598</v>
      </c>
      <c r="H34" s="4">
        <v>71.254405645161299</v>
      </c>
      <c r="I34" s="9">
        <v>72.689487217741956</v>
      </c>
      <c r="J34" s="30">
        <v>66.359225806451619</v>
      </c>
      <c r="K34" s="4">
        <v>67.549548387096777</v>
      </c>
      <c r="L34" s="4">
        <v>68.799387096774197</v>
      </c>
      <c r="M34" s="4">
        <v>70.111717741935493</v>
      </c>
      <c r="N34" s="4">
        <v>71.489664919354851</v>
      </c>
      <c r="O34" s="5">
        <v>72.936509455645165</v>
      </c>
      <c r="P34" s="7">
        <v>66.552774193548402</v>
      </c>
      <c r="Q34" s="4">
        <v>67.752774193548404</v>
      </c>
      <c r="R34" s="4">
        <v>69.01277419354841</v>
      </c>
      <c r="S34" s="4">
        <v>70.335774193548403</v>
      </c>
      <c r="T34" s="4">
        <v>71.724924193548404</v>
      </c>
      <c r="U34" s="5">
        <v>73.183531693548417</v>
      </c>
      <c r="V34" s="7">
        <v>66.359225806451619</v>
      </c>
      <c r="W34" s="4">
        <v>67.549548387096777</v>
      </c>
      <c r="X34" s="4">
        <v>68.799387096774197</v>
      </c>
      <c r="Y34" s="4">
        <v>70.111717741935493</v>
      </c>
      <c r="Z34" s="4">
        <v>71.489664919354851</v>
      </c>
      <c r="AA34" s="5">
        <v>72.936509455645165</v>
      </c>
      <c r="AB34" s="7">
        <v>66.552774193548402</v>
      </c>
      <c r="AC34" s="4">
        <v>67.752774193548404</v>
      </c>
      <c r="AD34" s="4">
        <v>69.01277419354841</v>
      </c>
      <c r="AE34" s="4">
        <v>70.335774193548403</v>
      </c>
      <c r="AF34" s="4">
        <v>73.252989193548402</v>
      </c>
      <c r="AG34" s="5">
        <v>74.787999943548414</v>
      </c>
      <c r="AH34" s="7">
        <v>66.552774193548402</v>
      </c>
      <c r="AI34" s="4">
        <v>67.752774193548404</v>
      </c>
      <c r="AJ34" s="4">
        <v>69.01277419354841</v>
      </c>
      <c r="AK34" s="4">
        <v>70.335774193548403</v>
      </c>
      <c r="AL34" s="4">
        <v>71.724924193548404</v>
      </c>
      <c r="AM34" s="5">
        <v>73.183531693548417</v>
      </c>
      <c r="AN34" s="7">
        <v>66.552774193548402</v>
      </c>
      <c r="AO34" s="4">
        <v>67.752774193548404</v>
      </c>
      <c r="AP34" s="4">
        <v>69.01277419354841</v>
      </c>
      <c r="AQ34" s="4">
        <v>70.335774193548403</v>
      </c>
      <c r="AR34" s="4">
        <v>71.724924193548404</v>
      </c>
      <c r="AS34" s="5">
        <v>73.183531693548417</v>
      </c>
      <c r="AT34" s="7">
        <v>66.359225806451619</v>
      </c>
      <c r="AU34" s="4">
        <v>67.549548387096777</v>
      </c>
      <c r="AV34" s="4">
        <v>68.799387096774197</v>
      </c>
      <c r="AW34" s="4">
        <v>70.111717741935493</v>
      </c>
      <c r="AX34" s="4">
        <v>71.489664919354851</v>
      </c>
      <c r="AY34" s="5">
        <v>72.936509455645165</v>
      </c>
      <c r="AZ34" s="7">
        <v>66.359225806451619</v>
      </c>
      <c r="BA34" s="4">
        <v>67.549548387096777</v>
      </c>
      <c r="BB34" s="4">
        <v>68.799387096774197</v>
      </c>
      <c r="BC34" s="4">
        <v>70.111717741935493</v>
      </c>
      <c r="BD34" s="4">
        <v>71.489664919354851</v>
      </c>
      <c r="BE34" s="5">
        <v>72.936509455645165</v>
      </c>
      <c r="BF34" s="7">
        <v>66.359225806451619</v>
      </c>
      <c r="BG34" s="4">
        <v>67.549548387096777</v>
      </c>
      <c r="BH34" s="4">
        <v>68.799387096774197</v>
      </c>
      <c r="BI34" s="4">
        <v>70.111717741935493</v>
      </c>
      <c r="BJ34" s="4">
        <v>71.489664919354851</v>
      </c>
      <c r="BK34" s="5">
        <v>72.936509455645165</v>
      </c>
      <c r="BL34" s="7">
        <v>66.359225806451619</v>
      </c>
      <c r="BM34" s="4">
        <v>67.549548387096777</v>
      </c>
      <c r="BN34" s="4">
        <v>68.799387096774197</v>
      </c>
      <c r="BO34" s="4">
        <v>70.111717741935493</v>
      </c>
      <c r="BP34" s="4">
        <v>71.489664919354851</v>
      </c>
      <c r="BQ34" s="5">
        <v>72.936509455645165</v>
      </c>
      <c r="BR34" s="7">
        <v>66.359225806451619</v>
      </c>
      <c r="BS34" s="4">
        <v>67.549548387096777</v>
      </c>
      <c r="BT34" s="4">
        <v>68.799387096774197</v>
      </c>
      <c r="BU34" s="4">
        <v>70.111717741935493</v>
      </c>
      <c r="BV34" s="4">
        <v>71.489664919354851</v>
      </c>
      <c r="BW34" s="5">
        <v>72.936509455645165</v>
      </c>
      <c r="BX34" s="7">
        <v>66.359225806451619</v>
      </c>
      <c r="BY34" s="4">
        <v>67.549548387096777</v>
      </c>
      <c r="BZ34" s="4">
        <v>68.799387096774197</v>
      </c>
      <c r="CA34" s="4">
        <v>70.111717741935493</v>
      </c>
      <c r="CB34" s="4">
        <v>71.489664919354851</v>
      </c>
      <c r="CC34" s="5">
        <v>72.936509455645165</v>
      </c>
      <c r="CD34" s="7">
        <v>66.359225806451619</v>
      </c>
      <c r="CE34" s="4">
        <v>67.549548387096777</v>
      </c>
      <c r="CF34" s="4">
        <v>68.799387096774197</v>
      </c>
      <c r="CG34" s="4">
        <v>70.111717741935493</v>
      </c>
      <c r="CH34" s="4">
        <v>71.489664919354851</v>
      </c>
      <c r="CI34" s="5">
        <v>72.936509455645165</v>
      </c>
      <c r="CJ34" s="7">
        <v>66.359225806451619</v>
      </c>
      <c r="CK34" s="4">
        <v>67.549548387096777</v>
      </c>
      <c r="CL34" s="4">
        <v>68.799387096774197</v>
      </c>
      <c r="CM34" s="4">
        <v>70.111717741935493</v>
      </c>
      <c r="CN34" s="4">
        <v>71.489664919354851</v>
      </c>
      <c r="CO34" s="5">
        <v>72.936509455645165</v>
      </c>
      <c r="CP34" s="7">
        <v>66.359225806451619</v>
      </c>
      <c r="CQ34" s="4">
        <v>67.549548387096777</v>
      </c>
      <c r="CR34" s="4">
        <v>68.799387096774197</v>
      </c>
      <c r="CS34" s="4">
        <v>70.111717741935493</v>
      </c>
      <c r="CT34" s="4">
        <v>71.489664919354851</v>
      </c>
      <c r="CU34" s="5">
        <v>72.936509455645165</v>
      </c>
      <c r="CV34" s="7">
        <v>49.338352941176474</v>
      </c>
      <c r="CW34" s="4">
        <v>50.20658823529412</v>
      </c>
      <c r="CX34" s="4">
        <v>51.118235294117653</v>
      </c>
      <c r="CY34" s="4">
        <v>52.075464705882361</v>
      </c>
      <c r="CZ34" s="4">
        <v>53.080555588235299</v>
      </c>
      <c r="DA34" s="5">
        <v>54.135901014705887</v>
      </c>
      <c r="DB34" s="7">
        <v>50.608941176470601</v>
      </c>
      <c r="DC34" s="4">
        <v>51.540705882352952</v>
      </c>
      <c r="DD34" s="4">
        <v>52.519058823529427</v>
      </c>
      <c r="DE34" s="4">
        <v>55.60087058823531</v>
      </c>
      <c r="DF34" s="4">
        <v>59.144954117647067</v>
      </c>
      <c r="DG34" s="5">
        <v>63.220650176470592</v>
      </c>
      <c r="DH34" s="7">
        <v>50.608941176470601</v>
      </c>
      <c r="DI34" s="4">
        <v>51.540705882352952</v>
      </c>
      <c r="DJ34" s="4">
        <v>52.519058823529427</v>
      </c>
      <c r="DK34" s="4">
        <v>55.60087058823531</v>
      </c>
      <c r="DL34" s="4">
        <v>59.144954117647067</v>
      </c>
      <c r="DM34" s="6">
        <v>63.220650176470592</v>
      </c>
      <c r="DN34" s="8">
        <v>60.224640000000022</v>
      </c>
      <c r="DO34" s="4">
        <v>62.364254117647071</v>
      </c>
      <c r="DP34" s="4">
        <v>63.548061176470604</v>
      </c>
      <c r="DQ34" s="4">
        <v>67.277053411764726</v>
      </c>
      <c r="DR34" s="6">
        <v>70.38249540000001</v>
      </c>
      <c r="DS34" s="9">
        <v>73.968160706470599</v>
      </c>
      <c r="DT34" s="8">
        <v>72.269568000000021</v>
      </c>
      <c r="DU34" s="4">
        <v>74.837104941176491</v>
      </c>
      <c r="DV34" s="4">
        <v>76.257673411764728</v>
      </c>
      <c r="DW34" s="4">
        <v>78.714152491764736</v>
      </c>
      <c r="DX34" s="6">
        <v>83.755169526000017</v>
      </c>
      <c r="DY34" s="9">
        <v>88.022111240700013</v>
      </c>
      <c r="DZ34" s="8">
        <v>72.269568000000021</v>
      </c>
      <c r="EA34" s="4">
        <v>74.837104941176491</v>
      </c>
      <c r="EB34" s="4">
        <v>76.257673411764728</v>
      </c>
      <c r="EC34" s="4">
        <v>78.714152491764736</v>
      </c>
      <c r="ED34" s="6">
        <v>83.755169526000017</v>
      </c>
      <c r="EE34" s="9">
        <v>88.022111240700013</v>
      </c>
      <c r="EF34" s="7">
        <v>50.608941176470601</v>
      </c>
      <c r="EG34" s="4">
        <v>51.540705882352952</v>
      </c>
      <c r="EH34" s="4">
        <v>52.519058823529427</v>
      </c>
      <c r="EI34" s="4">
        <v>55.60087058823531</v>
      </c>
      <c r="EJ34" s="4">
        <v>59.144954117647067</v>
      </c>
      <c r="EK34" s="5">
        <v>63.220650176470592</v>
      </c>
      <c r="EL34" s="14">
        <v>66.359225806451619</v>
      </c>
      <c r="EM34" s="7">
        <v>66.552774193548402</v>
      </c>
      <c r="EN34" s="4">
        <v>67.752774193548404</v>
      </c>
      <c r="EO34" s="4">
        <v>69.01277419354841</v>
      </c>
      <c r="EP34" s="4">
        <v>71.65877419354841</v>
      </c>
      <c r="EQ34" s="4">
        <v>74.569374193548413</v>
      </c>
      <c r="ER34" s="5">
        <v>77.771034193548417</v>
      </c>
      <c r="ES34" s="7">
        <v>66.552774193548402</v>
      </c>
      <c r="ET34" s="4">
        <v>67.752774193548404</v>
      </c>
      <c r="EU34" s="4">
        <v>69.01277419354841</v>
      </c>
      <c r="EV34" s="4">
        <v>71.65877419354841</v>
      </c>
      <c r="EW34" s="4">
        <v>74.569374193548413</v>
      </c>
      <c r="EX34" s="5">
        <v>77.771034193548417</v>
      </c>
      <c r="EY34" s="7">
        <v>68.101161290322594</v>
      </c>
      <c r="EZ34" s="4">
        <v>69.378580645161293</v>
      </c>
      <c r="FA34" s="4">
        <v>70.719870967741954</v>
      </c>
      <c r="FB34" s="4">
        <v>74.944935483870978</v>
      </c>
      <c r="FC34" s="4">
        <v>79.803759677419364</v>
      </c>
      <c r="FD34" s="5">
        <v>85.391407500000014</v>
      </c>
    </row>
    <row r="35" spans="2:160" x14ac:dyDescent="0.3">
      <c r="B35" s="2">
        <v>21.001000000000001</v>
      </c>
      <c r="C35" s="3">
        <v>22</v>
      </c>
      <c r="D35" s="8">
        <v>69.552774193548402</v>
      </c>
      <c r="E35" s="4">
        <v>70.830193548387101</v>
      </c>
      <c r="F35" s="4">
        <v>72.171483870967762</v>
      </c>
      <c r="G35" s="4">
        <v>73.579838709677432</v>
      </c>
      <c r="H35" s="4">
        <v>75.058611290322602</v>
      </c>
      <c r="I35" s="9">
        <v>76.611322500000028</v>
      </c>
      <c r="J35" s="30">
        <v>69.74632258064517</v>
      </c>
      <c r="K35" s="4">
        <v>71.033419354838728</v>
      </c>
      <c r="L35" s="4">
        <v>72.384870967741961</v>
      </c>
      <c r="M35" s="4">
        <v>73.803895161290342</v>
      </c>
      <c r="N35" s="4">
        <v>75.293870564516155</v>
      </c>
      <c r="O35" s="5">
        <v>76.858344737903224</v>
      </c>
      <c r="P35" s="7">
        <v>69.939870967741967</v>
      </c>
      <c r="Q35" s="4">
        <v>71.23664516129034</v>
      </c>
      <c r="R35" s="4">
        <v>72.598258064516145</v>
      </c>
      <c r="S35" s="4">
        <v>74.027951612903237</v>
      </c>
      <c r="T35" s="4">
        <v>75.529129838709693</v>
      </c>
      <c r="U35" s="5">
        <v>77.105366975806447</v>
      </c>
      <c r="V35" s="7">
        <v>69.74632258064517</v>
      </c>
      <c r="W35" s="4">
        <v>71.033419354838728</v>
      </c>
      <c r="X35" s="4">
        <v>72.384870967741961</v>
      </c>
      <c r="Y35" s="4">
        <v>73.803895161290342</v>
      </c>
      <c r="Z35" s="4">
        <v>75.293870564516155</v>
      </c>
      <c r="AA35" s="5">
        <v>76.858344737903224</v>
      </c>
      <c r="AB35" s="7">
        <v>69.939870967741967</v>
      </c>
      <c r="AC35" s="4">
        <v>71.23664516129034</v>
      </c>
      <c r="AD35" s="4">
        <v>72.598258064516145</v>
      </c>
      <c r="AE35" s="4">
        <v>74.027951612903237</v>
      </c>
      <c r="AF35" s="4">
        <v>77.180425887096789</v>
      </c>
      <c r="AG35" s="5">
        <v>78.839227826612927</v>
      </c>
      <c r="AH35" s="7">
        <v>69.939870967741967</v>
      </c>
      <c r="AI35" s="4">
        <v>71.23664516129034</v>
      </c>
      <c r="AJ35" s="4">
        <v>72.598258064516145</v>
      </c>
      <c r="AK35" s="4">
        <v>74.027951612903237</v>
      </c>
      <c r="AL35" s="4">
        <v>75.529129838709693</v>
      </c>
      <c r="AM35" s="5">
        <v>77.105366975806447</v>
      </c>
      <c r="AN35" s="7">
        <v>69.939870967741967</v>
      </c>
      <c r="AO35" s="4">
        <v>71.23664516129034</v>
      </c>
      <c r="AP35" s="4">
        <v>72.598258064516145</v>
      </c>
      <c r="AQ35" s="4">
        <v>74.027951612903237</v>
      </c>
      <c r="AR35" s="4">
        <v>75.529129838709693</v>
      </c>
      <c r="AS35" s="5">
        <v>77.105366975806447</v>
      </c>
      <c r="AT35" s="7">
        <v>69.74632258064517</v>
      </c>
      <c r="AU35" s="4">
        <v>71.033419354838728</v>
      </c>
      <c r="AV35" s="4">
        <v>72.384870967741961</v>
      </c>
      <c r="AW35" s="4">
        <v>73.803895161290342</v>
      </c>
      <c r="AX35" s="4">
        <v>75.293870564516155</v>
      </c>
      <c r="AY35" s="5">
        <v>76.858344737903224</v>
      </c>
      <c r="AZ35" s="7">
        <v>69.74632258064517</v>
      </c>
      <c r="BA35" s="4">
        <v>71.033419354838728</v>
      </c>
      <c r="BB35" s="4">
        <v>72.384870967741961</v>
      </c>
      <c r="BC35" s="4">
        <v>73.803895161290342</v>
      </c>
      <c r="BD35" s="4">
        <v>75.293870564516155</v>
      </c>
      <c r="BE35" s="5">
        <v>76.858344737903224</v>
      </c>
      <c r="BF35" s="7">
        <v>69.74632258064517</v>
      </c>
      <c r="BG35" s="4">
        <v>71.033419354838728</v>
      </c>
      <c r="BH35" s="4">
        <v>72.384870967741961</v>
      </c>
      <c r="BI35" s="4">
        <v>73.803895161290342</v>
      </c>
      <c r="BJ35" s="4">
        <v>75.293870564516155</v>
      </c>
      <c r="BK35" s="5">
        <v>76.858344737903224</v>
      </c>
      <c r="BL35" s="7">
        <v>69.74632258064517</v>
      </c>
      <c r="BM35" s="4">
        <v>71.033419354838728</v>
      </c>
      <c r="BN35" s="4">
        <v>72.384870967741961</v>
      </c>
      <c r="BO35" s="4">
        <v>73.803895161290342</v>
      </c>
      <c r="BP35" s="4">
        <v>75.293870564516155</v>
      </c>
      <c r="BQ35" s="5">
        <v>76.858344737903224</v>
      </c>
      <c r="BR35" s="7">
        <v>69.74632258064517</v>
      </c>
      <c r="BS35" s="4">
        <v>71.033419354838728</v>
      </c>
      <c r="BT35" s="4">
        <v>72.384870967741961</v>
      </c>
      <c r="BU35" s="4">
        <v>73.803895161290342</v>
      </c>
      <c r="BV35" s="4">
        <v>75.293870564516155</v>
      </c>
      <c r="BW35" s="5">
        <v>76.858344737903224</v>
      </c>
      <c r="BX35" s="7">
        <v>69.74632258064517</v>
      </c>
      <c r="BY35" s="4">
        <v>71.033419354838728</v>
      </c>
      <c r="BZ35" s="4">
        <v>72.384870967741961</v>
      </c>
      <c r="CA35" s="4">
        <v>73.803895161290342</v>
      </c>
      <c r="CB35" s="4">
        <v>75.293870564516155</v>
      </c>
      <c r="CC35" s="5">
        <v>76.858344737903224</v>
      </c>
      <c r="CD35" s="7">
        <v>69.74632258064517</v>
      </c>
      <c r="CE35" s="4">
        <v>71.033419354838728</v>
      </c>
      <c r="CF35" s="4">
        <v>72.384870967741961</v>
      </c>
      <c r="CG35" s="4">
        <v>73.803895161290342</v>
      </c>
      <c r="CH35" s="4">
        <v>75.293870564516155</v>
      </c>
      <c r="CI35" s="5">
        <v>76.858344737903224</v>
      </c>
      <c r="CJ35" s="7">
        <v>69.74632258064517</v>
      </c>
      <c r="CK35" s="4">
        <v>71.033419354838728</v>
      </c>
      <c r="CL35" s="4">
        <v>72.384870967741961</v>
      </c>
      <c r="CM35" s="4">
        <v>73.803895161290342</v>
      </c>
      <c r="CN35" s="4">
        <v>75.293870564516155</v>
      </c>
      <c r="CO35" s="5">
        <v>76.858344737903224</v>
      </c>
      <c r="CP35" s="7">
        <v>69.74632258064517</v>
      </c>
      <c r="CQ35" s="4">
        <v>71.033419354838728</v>
      </c>
      <c r="CR35" s="4">
        <v>72.384870967741961</v>
      </c>
      <c r="CS35" s="4">
        <v>73.803895161290342</v>
      </c>
      <c r="CT35" s="4">
        <v>75.293870564516155</v>
      </c>
      <c r="CU35" s="5">
        <v>76.858344737903224</v>
      </c>
      <c r="CV35" s="7">
        <v>51.808941176470597</v>
      </c>
      <c r="CW35" s="4">
        <v>52.747764705882368</v>
      </c>
      <c r="CX35" s="4">
        <v>53.733529411764721</v>
      </c>
      <c r="CY35" s="4">
        <v>54.768582352941195</v>
      </c>
      <c r="CZ35" s="4">
        <v>55.855387941176488</v>
      </c>
      <c r="DA35" s="5">
        <v>56.996533808823543</v>
      </c>
      <c r="DB35" s="7">
        <v>53.079529411764717</v>
      </c>
      <c r="DC35" s="4">
        <v>54.081882352941186</v>
      </c>
      <c r="DD35" s="4">
        <v>55.134352941176488</v>
      </c>
      <c r="DE35" s="4">
        <v>58.449635294117662</v>
      </c>
      <c r="DF35" s="4">
        <v>62.26221000000001</v>
      </c>
      <c r="DG35" s="5">
        <v>66.646670911764716</v>
      </c>
      <c r="DH35" s="7">
        <v>53.079529411764717</v>
      </c>
      <c r="DI35" s="4">
        <v>54.081882352941186</v>
      </c>
      <c r="DJ35" s="4">
        <v>55.134352941176488</v>
      </c>
      <c r="DK35" s="4">
        <v>58.449635294117662</v>
      </c>
      <c r="DL35" s="4">
        <v>62.26221000000001</v>
      </c>
      <c r="DM35" s="6">
        <v>66.646670911764716</v>
      </c>
      <c r="DN35" s="8">
        <v>63.164640000000006</v>
      </c>
      <c r="DO35" s="4">
        <v>65.439077647058838</v>
      </c>
      <c r="DP35" s="4">
        <v>66.712567058823552</v>
      </c>
      <c r="DQ35" s="4">
        <v>70.724058705882371</v>
      </c>
      <c r="DR35" s="6">
        <v>74.092029900000014</v>
      </c>
      <c r="DS35" s="9">
        <v>77.976604966764725</v>
      </c>
      <c r="DT35" s="8">
        <v>75.797568000000012</v>
      </c>
      <c r="DU35" s="4">
        <v>78.526893176470608</v>
      </c>
      <c r="DV35" s="4">
        <v>80.055080470588265</v>
      </c>
      <c r="DW35" s="4">
        <v>82.747148685882379</v>
      </c>
      <c r="DX35" s="6">
        <v>88.169515581000013</v>
      </c>
      <c r="DY35" s="9">
        <v>92.79215991045001</v>
      </c>
      <c r="DZ35" s="8">
        <v>75.797568000000012</v>
      </c>
      <c r="EA35" s="4">
        <v>78.526893176470608</v>
      </c>
      <c r="EB35" s="4">
        <v>80.055080470588265</v>
      </c>
      <c r="EC35" s="4">
        <v>82.747148685882379</v>
      </c>
      <c r="ED35" s="6">
        <v>88.169515581000013</v>
      </c>
      <c r="EE35" s="9">
        <v>92.79215991045001</v>
      </c>
      <c r="EF35" s="7">
        <v>53.079529411764717</v>
      </c>
      <c r="EG35" s="4">
        <v>54.081882352941186</v>
      </c>
      <c r="EH35" s="4">
        <v>55.134352941176488</v>
      </c>
      <c r="EI35" s="4">
        <v>58.449635294117662</v>
      </c>
      <c r="EJ35" s="4">
        <v>62.26221000000001</v>
      </c>
      <c r="EK35" s="5">
        <v>66.646670911764716</v>
      </c>
      <c r="EL35" s="14">
        <v>69.74632258064517</v>
      </c>
      <c r="EM35" s="7">
        <v>69.939870967741967</v>
      </c>
      <c r="EN35" s="4">
        <v>71.23664516129034</v>
      </c>
      <c r="EO35" s="4">
        <v>72.598258064516145</v>
      </c>
      <c r="EP35" s="4">
        <v>75.45764516129033</v>
      </c>
      <c r="EQ35" s="4">
        <v>78.602970967741953</v>
      </c>
      <c r="ER35" s="5">
        <v>82.06282935483874</v>
      </c>
      <c r="ES35" s="7">
        <v>69.939870967741967</v>
      </c>
      <c r="ET35" s="4">
        <v>71.23664516129034</v>
      </c>
      <c r="EU35" s="4">
        <v>72.598258064516145</v>
      </c>
      <c r="EV35" s="4">
        <v>75.45764516129033</v>
      </c>
      <c r="EW35" s="4">
        <v>78.602970967741953</v>
      </c>
      <c r="EX35" s="5">
        <v>82.06282935483874</v>
      </c>
      <c r="EY35" s="7">
        <v>71.488258064516145</v>
      </c>
      <c r="EZ35" s="4">
        <v>72.862451612903243</v>
      </c>
      <c r="FA35" s="4">
        <v>74.30535483870969</v>
      </c>
      <c r="FB35" s="4">
        <v>78.850500000000011</v>
      </c>
      <c r="FC35" s="4">
        <v>84.077416935483868</v>
      </c>
      <c r="FD35" s="5">
        <v>90.088371411290339</v>
      </c>
    </row>
    <row r="36" spans="2:160" x14ac:dyDescent="0.3">
      <c r="B36" s="2">
        <v>22.001000000000001</v>
      </c>
      <c r="C36" s="3">
        <v>23</v>
      </c>
      <c r="D36" s="8">
        <v>72.939870967741953</v>
      </c>
      <c r="E36" s="4">
        <v>74.314064516129051</v>
      </c>
      <c r="F36" s="4">
        <v>75.756967741935512</v>
      </c>
      <c r="G36" s="4">
        <v>77.272016129032266</v>
      </c>
      <c r="H36" s="4">
        <v>78.862816935483892</v>
      </c>
      <c r="I36" s="9">
        <v>80.533157782258073</v>
      </c>
      <c r="J36" s="30">
        <v>73.133419354838708</v>
      </c>
      <c r="K36" s="4">
        <v>74.517290322580664</v>
      </c>
      <c r="L36" s="4">
        <v>75.970354838709682</v>
      </c>
      <c r="M36" s="4">
        <v>77.496072580645162</v>
      </c>
      <c r="N36" s="4">
        <v>79.09807620967743</v>
      </c>
      <c r="O36" s="5">
        <v>80.780180020161296</v>
      </c>
      <c r="P36" s="7">
        <v>73.326967741935505</v>
      </c>
      <c r="Q36" s="4">
        <v>74.720516129032276</v>
      </c>
      <c r="R36" s="4">
        <v>76.18374193548388</v>
      </c>
      <c r="S36" s="4">
        <v>77.720129032258086</v>
      </c>
      <c r="T36" s="4">
        <v>79.333335483870982</v>
      </c>
      <c r="U36" s="5">
        <v>81.02720225806452</v>
      </c>
      <c r="V36" s="7">
        <v>73.133419354838708</v>
      </c>
      <c r="W36" s="4">
        <v>74.517290322580664</v>
      </c>
      <c r="X36" s="4">
        <v>75.970354838709682</v>
      </c>
      <c r="Y36" s="4">
        <v>77.496072580645162</v>
      </c>
      <c r="Z36" s="4">
        <v>79.09807620967743</v>
      </c>
      <c r="AA36" s="5">
        <v>80.780180020161296</v>
      </c>
      <c r="AB36" s="7">
        <v>73.326967741935505</v>
      </c>
      <c r="AC36" s="4">
        <v>74.720516129032276</v>
      </c>
      <c r="AD36" s="4">
        <v>76.18374193548388</v>
      </c>
      <c r="AE36" s="4">
        <v>77.720129032258086</v>
      </c>
      <c r="AF36" s="4">
        <v>81.107862580645161</v>
      </c>
      <c r="AG36" s="5">
        <v>82.89045570967744</v>
      </c>
      <c r="AH36" s="7">
        <v>73.326967741935505</v>
      </c>
      <c r="AI36" s="4">
        <v>74.720516129032276</v>
      </c>
      <c r="AJ36" s="4">
        <v>76.18374193548388</v>
      </c>
      <c r="AK36" s="4">
        <v>77.720129032258086</v>
      </c>
      <c r="AL36" s="4">
        <v>79.333335483870982</v>
      </c>
      <c r="AM36" s="5">
        <v>81.02720225806452</v>
      </c>
      <c r="AN36" s="7">
        <v>73.326967741935505</v>
      </c>
      <c r="AO36" s="4">
        <v>74.720516129032276</v>
      </c>
      <c r="AP36" s="4">
        <v>76.18374193548388</v>
      </c>
      <c r="AQ36" s="4">
        <v>77.720129032258086</v>
      </c>
      <c r="AR36" s="4">
        <v>79.333335483870982</v>
      </c>
      <c r="AS36" s="5">
        <v>81.02720225806452</v>
      </c>
      <c r="AT36" s="7">
        <v>73.133419354838708</v>
      </c>
      <c r="AU36" s="4">
        <v>74.517290322580664</v>
      </c>
      <c r="AV36" s="4">
        <v>75.970354838709682</v>
      </c>
      <c r="AW36" s="4">
        <v>77.496072580645162</v>
      </c>
      <c r="AX36" s="4">
        <v>79.09807620967743</v>
      </c>
      <c r="AY36" s="5">
        <v>80.780180020161296</v>
      </c>
      <c r="AZ36" s="7">
        <v>73.133419354838708</v>
      </c>
      <c r="BA36" s="4">
        <v>74.517290322580664</v>
      </c>
      <c r="BB36" s="4">
        <v>75.970354838709682</v>
      </c>
      <c r="BC36" s="4">
        <v>77.496072580645162</v>
      </c>
      <c r="BD36" s="4">
        <v>79.09807620967743</v>
      </c>
      <c r="BE36" s="5">
        <v>80.780180020161296</v>
      </c>
      <c r="BF36" s="7">
        <v>73.133419354838708</v>
      </c>
      <c r="BG36" s="4">
        <v>74.517290322580664</v>
      </c>
      <c r="BH36" s="4">
        <v>75.970354838709682</v>
      </c>
      <c r="BI36" s="4">
        <v>77.496072580645162</v>
      </c>
      <c r="BJ36" s="4">
        <v>79.09807620967743</v>
      </c>
      <c r="BK36" s="5">
        <v>80.780180020161296</v>
      </c>
      <c r="BL36" s="7">
        <v>73.133419354838708</v>
      </c>
      <c r="BM36" s="4">
        <v>74.517290322580664</v>
      </c>
      <c r="BN36" s="4">
        <v>75.970354838709682</v>
      </c>
      <c r="BO36" s="4">
        <v>77.496072580645162</v>
      </c>
      <c r="BP36" s="4">
        <v>79.09807620967743</v>
      </c>
      <c r="BQ36" s="5">
        <v>80.780180020161296</v>
      </c>
      <c r="BR36" s="7">
        <v>73.133419354838708</v>
      </c>
      <c r="BS36" s="4">
        <v>74.517290322580664</v>
      </c>
      <c r="BT36" s="4">
        <v>75.970354838709682</v>
      </c>
      <c r="BU36" s="4">
        <v>77.496072580645162</v>
      </c>
      <c r="BV36" s="4">
        <v>79.09807620967743</v>
      </c>
      <c r="BW36" s="5">
        <v>80.780180020161296</v>
      </c>
      <c r="BX36" s="7">
        <v>73.133419354838708</v>
      </c>
      <c r="BY36" s="4">
        <v>74.517290322580664</v>
      </c>
      <c r="BZ36" s="4">
        <v>75.970354838709682</v>
      </c>
      <c r="CA36" s="4">
        <v>77.496072580645162</v>
      </c>
      <c r="CB36" s="4">
        <v>79.09807620967743</v>
      </c>
      <c r="CC36" s="5">
        <v>80.780180020161296</v>
      </c>
      <c r="CD36" s="7">
        <v>73.133419354838708</v>
      </c>
      <c r="CE36" s="4">
        <v>74.517290322580664</v>
      </c>
      <c r="CF36" s="4">
        <v>75.970354838709682</v>
      </c>
      <c r="CG36" s="4">
        <v>77.496072580645162</v>
      </c>
      <c r="CH36" s="4">
        <v>79.09807620967743</v>
      </c>
      <c r="CI36" s="5">
        <v>80.780180020161296</v>
      </c>
      <c r="CJ36" s="7">
        <v>73.133419354838708</v>
      </c>
      <c r="CK36" s="4">
        <v>74.517290322580664</v>
      </c>
      <c r="CL36" s="4">
        <v>75.970354838709682</v>
      </c>
      <c r="CM36" s="4">
        <v>77.496072580645162</v>
      </c>
      <c r="CN36" s="4">
        <v>79.09807620967743</v>
      </c>
      <c r="CO36" s="5">
        <v>80.780180020161296</v>
      </c>
      <c r="CP36" s="7">
        <v>73.133419354838708</v>
      </c>
      <c r="CQ36" s="4">
        <v>74.517290322580664</v>
      </c>
      <c r="CR36" s="4">
        <v>75.970354838709682</v>
      </c>
      <c r="CS36" s="4">
        <v>77.496072580645162</v>
      </c>
      <c r="CT36" s="4">
        <v>79.09807620967743</v>
      </c>
      <c r="CU36" s="5">
        <v>80.780180020161296</v>
      </c>
      <c r="CV36" s="7">
        <v>54.279529411764706</v>
      </c>
      <c r="CW36" s="4">
        <v>55.288941176470601</v>
      </c>
      <c r="CX36" s="4">
        <v>56.348823529411767</v>
      </c>
      <c r="CY36" s="4">
        <v>57.461700000000008</v>
      </c>
      <c r="CZ36" s="4">
        <v>58.630220294117663</v>
      </c>
      <c r="DA36" s="5">
        <v>59.857166602941192</v>
      </c>
      <c r="DB36" s="7">
        <v>55.55011764705884</v>
      </c>
      <c r="DC36" s="4">
        <v>56.623058823529419</v>
      </c>
      <c r="DD36" s="4">
        <v>57.749647058823541</v>
      </c>
      <c r="DE36" s="4">
        <v>61.298400000000008</v>
      </c>
      <c r="DF36" s="4">
        <v>65.379465882352946</v>
      </c>
      <c r="DG36" s="5">
        <v>70.072691647058832</v>
      </c>
      <c r="DH36" s="7">
        <v>55.55011764705884</v>
      </c>
      <c r="DI36" s="4">
        <v>56.623058823529419</v>
      </c>
      <c r="DJ36" s="4">
        <v>57.749647058823541</v>
      </c>
      <c r="DK36" s="4">
        <v>61.298400000000008</v>
      </c>
      <c r="DL36" s="4">
        <v>65.379465882352946</v>
      </c>
      <c r="DM36" s="6">
        <v>70.072691647058832</v>
      </c>
      <c r="DN36" s="8">
        <v>66.104640000000018</v>
      </c>
      <c r="DO36" s="4">
        <v>68.513901176470597</v>
      </c>
      <c r="DP36" s="4">
        <v>69.877072941176479</v>
      </c>
      <c r="DQ36" s="4">
        <v>74.171064000000015</v>
      </c>
      <c r="DR36" s="6">
        <v>77.801564400000018</v>
      </c>
      <c r="DS36" s="9">
        <v>81.985049227058823</v>
      </c>
      <c r="DT36" s="8">
        <v>79.325568000000018</v>
      </c>
      <c r="DU36" s="4">
        <v>82.216681411764711</v>
      </c>
      <c r="DV36" s="4">
        <v>83.852487529411775</v>
      </c>
      <c r="DW36" s="4">
        <v>86.780144880000009</v>
      </c>
      <c r="DX36" s="6">
        <v>92.583861636000023</v>
      </c>
      <c r="DY36" s="9">
        <v>97.562208580200007</v>
      </c>
      <c r="DZ36" s="8">
        <v>79.325568000000018</v>
      </c>
      <c r="EA36" s="4">
        <v>82.216681411764711</v>
      </c>
      <c r="EB36" s="4">
        <v>83.852487529411775</v>
      </c>
      <c r="EC36" s="4">
        <v>86.780144880000009</v>
      </c>
      <c r="ED36" s="6">
        <v>92.583861636000023</v>
      </c>
      <c r="EE36" s="9">
        <v>97.562208580200007</v>
      </c>
      <c r="EF36" s="7">
        <v>55.55011764705884</v>
      </c>
      <c r="EG36" s="4">
        <v>56.623058823529419</v>
      </c>
      <c r="EH36" s="4">
        <v>57.749647058823541</v>
      </c>
      <c r="EI36" s="4">
        <v>61.298400000000008</v>
      </c>
      <c r="EJ36" s="4">
        <v>65.379465882352946</v>
      </c>
      <c r="EK36" s="5">
        <v>70.072691647058832</v>
      </c>
      <c r="EL36" s="14">
        <v>73.133419354838708</v>
      </c>
      <c r="EM36" s="7">
        <v>73.326967741935505</v>
      </c>
      <c r="EN36" s="4">
        <v>74.720516129032276</v>
      </c>
      <c r="EO36" s="4">
        <v>76.18374193548388</v>
      </c>
      <c r="EP36" s="4">
        <v>79.256516129032264</v>
      </c>
      <c r="EQ36" s="4">
        <v>82.636567741935494</v>
      </c>
      <c r="ER36" s="5">
        <v>86.354624516129064</v>
      </c>
      <c r="ES36" s="7">
        <v>73.326967741935505</v>
      </c>
      <c r="ET36" s="4">
        <v>74.720516129032276</v>
      </c>
      <c r="EU36" s="4">
        <v>76.18374193548388</v>
      </c>
      <c r="EV36" s="4">
        <v>79.256516129032264</v>
      </c>
      <c r="EW36" s="4">
        <v>82.636567741935494</v>
      </c>
      <c r="EX36" s="5">
        <v>86.354624516129064</v>
      </c>
      <c r="EY36" s="7">
        <v>74.875354838709683</v>
      </c>
      <c r="EZ36" s="4">
        <v>76.346322580645179</v>
      </c>
      <c r="FA36" s="4">
        <v>77.890838709677439</v>
      </c>
      <c r="FB36" s="4">
        <v>82.756064516129044</v>
      </c>
      <c r="FC36" s="4">
        <v>88.351074193548399</v>
      </c>
      <c r="FD36" s="5">
        <v>94.78533532258065</v>
      </c>
    </row>
    <row r="37" spans="2:160" x14ac:dyDescent="0.3">
      <c r="B37" s="2">
        <v>23.001000000000001</v>
      </c>
      <c r="C37" s="3">
        <v>24</v>
      </c>
      <c r="D37" s="8">
        <v>76.326967741935505</v>
      </c>
      <c r="E37" s="4">
        <v>77.797935483870987</v>
      </c>
      <c r="F37" s="4">
        <v>79.342451612903233</v>
      </c>
      <c r="G37" s="4">
        <v>80.964193548387101</v>
      </c>
      <c r="H37" s="4">
        <v>82.667022580645167</v>
      </c>
      <c r="I37" s="9">
        <v>84.454993064516145</v>
      </c>
      <c r="J37" s="30">
        <v>76.520516129032274</v>
      </c>
      <c r="K37" s="4">
        <v>78.001161290322585</v>
      </c>
      <c r="L37" s="4">
        <v>79.555838709677431</v>
      </c>
      <c r="M37" s="4">
        <v>81.188249999999996</v>
      </c>
      <c r="N37" s="4">
        <v>82.902281854838705</v>
      </c>
      <c r="O37" s="5">
        <v>84.702015302419355</v>
      </c>
      <c r="P37" s="7">
        <v>76.714064516129056</v>
      </c>
      <c r="Q37" s="4">
        <v>78.204387096774198</v>
      </c>
      <c r="R37" s="4">
        <v>79.76922580645163</v>
      </c>
      <c r="S37" s="4">
        <v>81.41230645161292</v>
      </c>
      <c r="T37" s="4">
        <v>83.137541129032286</v>
      </c>
      <c r="U37" s="5">
        <v>84.949037540322593</v>
      </c>
      <c r="V37" s="7">
        <v>76.520516129032274</v>
      </c>
      <c r="W37" s="4">
        <v>78.001161290322585</v>
      </c>
      <c r="X37" s="4">
        <v>79.555838709677431</v>
      </c>
      <c r="Y37" s="4">
        <v>81.188249999999996</v>
      </c>
      <c r="Z37" s="4">
        <v>82.902281854838705</v>
      </c>
      <c r="AA37" s="5">
        <v>84.702015302419355</v>
      </c>
      <c r="AB37" s="7">
        <v>76.714064516129056</v>
      </c>
      <c r="AC37" s="4">
        <v>78.204387096774198</v>
      </c>
      <c r="AD37" s="4">
        <v>79.76922580645163</v>
      </c>
      <c r="AE37" s="4">
        <v>81.41230645161292</v>
      </c>
      <c r="AF37" s="4">
        <v>85.035299274193562</v>
      </c>
      <c r="AG37" s="5">
        <v>86.941683592741953</v>
      </c>
      <c r="AH37" s="7">
        <v>76.714064516129056</v>
      </c>
      <c r="AI37" s="4">
        <v>78.204387096774198</v>
      </c>
      <c r="AJ37" s="4">
        <v>79.76922580645163</v>
      </c>
      <c r="AK37" s="4">
        <v>81.41230645161292</v>
      </c>
      <c r="AL37" s="4">
        <v>83.137541129032286</v>
      </c>
      <c r="AM37" s="5">
        <v>84.949037540322593</v>
      </c>
      <c r="AN37" s="7">
        <v>76.714064516129056</v>
      </c>
      <c r="AO37" s="4">
        <v>78.204387096774198</v>
      </c>
      <c r="AP37" s="4">
        <v>79.76922580645163</v>
      </c>
      <c r="AQ37" s="4">
        <v>81.41230645161292</v>
      </c>
      <c r="AR37" s="4">
        <v>83.137541129032286</v>
      </c>
      <c r="AS37" s="5">
        <v>84.949037540322593</v>
      </c>
      <c r="AT37" s="7">
        <v>76.520516129032274</v>
      </c>
      <c r="AU37" s="4">
        <v>78.001161290322585</v>
      </c>
      <c r="AV37" s="4">
        <v>79.555838709677431</v>
      </c>
      <c r="AW37" s="4">
        <v>81.188249999999996</v>
      </c>
      <c r="AX37" s="4">
        <v>82.902281854838705</v>
      </c>
      <c r="AY37" s="5">
        <v>84.702015302419355</v>
      </c>
      <c r="AZ37" s="7">
        <v>76.520516129032274</v>
      </c>
      <c r="BA37" s="4">
        <v>78.001161290322585</v>
      </c>
      <c r="BB37" s="4">
        <v>79.555838709677431</v>
      </c>
      <c r="BC37" s="4">
        <v>81.188249999999996</v>
      </c>
      <c r="BD37" s="4">
        <v>82.902281854838705</v>
      </c>
      <c r="BE37" s="5">
        <v>84.702015302419355</v>
      </c>
      <c r="BF37" s="7">
        <v>76.520516129032274</v>
      </c>
      <c r="BG37" s="4">
        <v>78.001161290322585</v>
      </c>
      <c r="BH37" s="4">
        <v>79.555838709677431</v>
      </c>
      <c r="BI37" s="4">
        <v>81.188249999999996</v>
      </c>
      <c r="BJ37" s="4">
        <v>82.902281854838705</v>
      </c>
      <c r="BK37" s="5">
        <v>84.702015302419355</v>
      </c>
      <c r="BL37" s="7">
        <v>76.520516129032274</v>
      </c>
      <c r="BM37" s="4">
        <v>78.001161290322585</v>
      </c>
      <c r="BN37" s="4">
        <v>79.555838709677431</v>
      </c>
      <c r="BO37" s="4">
        <v>81.188249999999996</v>
      </c>
      <c r="BP37" s="4">
        <v>82.902281854838705</v>
      </c>
      <c r="BQ37" s="5">
        <v>84.702015302419355</v>
      </c>
      <c r="BR37" s="7">
        <v>76.520516129032274</v>
      </c>
      <c r="BS37" s="4">
        <v>78.001161290322585</v>
      </c>
      <c r="BT37" s="4">
        <v>79.555838709677431</v>
      </c>
      <c r="BU37" s="4">
        <v>81.188249999999996</v>
      </c>
      <c r="BV37" s="4">
        <v>82.902281854838705</v>
      </c>
      <c r="BW37" s="5">
        <v>84.702015302419355</v>
      </c>
      <c r="BX37" s="7">
        <v>76.520516129032274</v>
      </c>
      <c r="BY37" s="4">
        <v>78.001161290322585</v>
      </c>
      <c r="BZ37" s="4">
        <v>79.555838709677431</v>
      </c>
      <c r="CA37" s="4">
        <v>81.188249999999996</v>
      </c>
      <c r="CB37" s="4">
        <v>82.902281854838705</v>
      </c>
      <c r="CC37" s="5">
        <v>84.702015302419355</v>
      </c>
      <c r="CD37" s="7">
        <v>76.520516129032274</v>
      </c>
      <c r="CE37" s="4">
        <v>78.001161290322585</v>
      </c>
      <c r="CF37" s="4">
        <v>79.555838709677431</v>
      </c>
      <c r="CG37" s="4">
        <v>81.188249999999996</v>
      </c>
      <c r="CH37" s="4">
        <v>82.902281854838705</v>
      </c>
      <c r="CI37" s="5">
        <v>84.702015302419355</v>
      </c>
      <c r="CJ37" s="7">
        <v>76.520516129032274</v>
      </c>
      <c r="CK37" s="4">
        <v>78.001161290322585</v>
      </c>
      <c r="CL37" s="4">
        <v>79.555838709677431</v>
      </c>
      <c r="CM37" s="4">
        <v>81.188249999999996</v>
      </c>
      <c r="CN37" s="4">
        <v>82.902281854838705</v>
      </c>
      <c r="CO37" s="5">
        <v>84.702015302419355</v>
      </c>
      <c r="CP37" s="7">
        <v>76.520516129032274</v>
      </c>
      <c r="CQ37" s="4">
        <v>78.001161290322585</v>
      </c>
      <c r="CR37" s="4">
        <v>79.555838709677431</v>
      </c>
      <c r="CS37" s="4">
        <v>81.188249999999996</v>
      </c>
      <c r="CT37" s="4">
        <v>82.902281854838705</v>
      </c>
      <c r="CU37" s="5">
        <v>84.702015302419355</v>
      </c>
      <c r="CV37" s="7">
        <v>56.750117647058829</v>
      </c>
      <c r="CW37" s="4">
        <v>57.830117647058827</v>
      </c>
      <c r="CX37" s="4">
        <v>58.964117647058835</v>
      </c>
      <c r="CY37" s="4">
        <v>60.154817647058834</v>
      </c>
      <c r="CZ37" s="4">
        <v>61.405052647058838</v>
      </c>
      <c r="DA37" s="5">
        <v>62.717799397058833</v>
      </c>
      <c r="DB37" s="7">
        <v>58.020705882352949</v>
      </c>
      <c r="DC37" s="4">
        <v>59.164235294117667</v>
      </c>
      <c r="DD37" s="4">
        <v>60.364941176470595</v>
      </c>
      <c r="DE37" s="4">
        <v>64.147164705882375</v>
      </c>
      <c r="DF37" s="4">
        <v>68.496721764705896</v>
      </c>
      <c r="DG37" s="5">
        <v>73.498712382352963</v>
      </c>
      <c r="DH37" s="7">
        <v>58.020705882352949</v>
      </c>
      <c r="DI37" s="4">
        <v>59.164235294117667</v>
      </c>
      <c r="DJ37" s="4">
        <v>60.364941176470595</v>
      </c>
      <c r="DK37" s="4">
        <v>64.147164705882375</v>
      </c>
      <c r="DL37" s="4">
        <v>68.496721764705896</v>
      </c>
      <c r="DM37" s="6">
        <v>73.498712382352963</v>
      </c>
      <c r="DN37" s="8">
        <v>69.044640000000015</v>
      </c>
      <c r="DO37" s="4">
        <v>71.588724705882385</v>
      </c>
      <c r="DP37" s="4">
        <v>73.04157882352942</v>
      </c>
      <c r="DQ37" s="4">
        <v>77.61806929411766</v>
      </c>
      <c r="DR37" s="6">
        <v>81.511098900000022</v>
      </c>
      <c r="DS37" s="9">
        <v>85.993493487352964</v>
      </c>
      <c r="DT37" s="8">
        <v>82.853568000000024</v>
      </c>
      <c r="DU37" s="4">
        <v>85.906469647058856</v>
      </c>
      <c r="DV37" s="4">
        <v>87.649894588235298</v>
      </c>
      <c r="DW37" s="4">
        <v>90.813141074117667</v>
      </c>
      <c r="DX37" s="6">
        <v>96.998207691000033</v>
      </c>
      <c r="DY37" s="9">
        <v>102.33225724995002</v>
      </c>
      <c r="DZ37" s="8">
        <v>82.853568000000024</v>
      </c>
      <c r="EA37" s="4">
        <v>85.906469647058856</v>
      </c>
      <c r="EB37" s="4">
        <v>87.649894588235298</v>
      </c>
      <c r="EC37" s="4">
        <v>90.813141074117667</v>
      </c>
      <c r="ED37" s="6">
        <v>96.998207691000033</v>
      </c>
      <c r="EE37" s="9">
        <v>102.33225724995002</v>
      </c>
      <c r="EF37" s="7">
        <v>58.020705882352949</v>
      </c>
      <c r="EG37" s="4">
        <v>59.164235294117667</v>
      </c>
      <c r="EH37" s="4">
        <v>60.364941176470595</v>
      </c>
      <c r="EI37" s="4">
        <v>64.147164705882375</v>
      </c>
      <c r="EJ37" s="4">
        <v>68.496721764705896</v>
      </c>
      <c r="EK37" s="5">
        <v>73.498712382352963</v>
      </c>
      <c r="EL37" s="14">
        <v>76.520516129032274</v>
      </c>
      <c r="EM37" s="7">
        <v>76.714064516129056</v>
      </c>
      <c r="EN37" s="4">
        <v>78.204387096774198</v>
      </c>
      <c r="EO37" s="4">
        <v>79.76922580645163</v>
      </c>
      <c r="EP37" s="4">
        <v>83.055387096774197</v>
      </c>
      <c r="EQ37" s="4">
        <v>86.670164516129049</v>
      </c>
      <c r="ER37" s="5">
        <v>90.646419677419374</v>
      </c>
      <c r="ES37" s="7">
        <v>76.714064516129056</v>
      </c>
      <c r="ET37" s="4">
        <v>78.204387096774198</v>
      </c>
      <c r="EU37" s="4">
        <v>79.76922580645163</v>
      </c>
      <c r="EV37" s="4">
        <v>83.055387096774197</v>
      </c>
      <c r="EW37" s="4">
        <v>86.670164516129049</v>
      </c>
      <c r="EX37" s="5">
        <v>90.646419677419374</v>
      </c>
      <c r="EY37" s="7">
        <v>78.262451612903249</v>
      </c>
      <c r="EZ37" s="4">
        <v>79.830193548387101</v>
      </c>
      <c r="FA37" s="4">
        <v>81.476322580645174</v>
      </c>
      <c r="FB37" s="4">
        <v>86.661629032258077</v>
      </c>
      <c r="FC37" s="4">
        <v>92.624731451612917</v>
      </c>
      <c r="FD37" s="5">
        <v>99.482299233870975</v>
      </c>
    </row>
    <row r="38" spans="2:160" x14ac:dyDescent="0.3">
      <c r="B38" s="2">
        <v>24.001000000000001</v>
      </c>
      <c r="C38" s="3">
        <v>25</v>
      </c>
      <c r="D38" s="8">
        <v>79.714064516129042</v>
      </c>
      <c r="E38" s="4">
        <v>81.281806451612923</v>
      </c>
      <c r="F38" s="4">
        <v>82.927935483870968</v>
      </c>
      <c r="G38" s="4">
        <v>84.65637096774195</v>
      </c>
      <c r="H38" s="4">
        <v>86.47122822580647</v>
      </c>
      <c r="I38" s="9">
        <v>88.376828346774218</v>
      </c>
      <c r="J38" s="30">
        <v>79.907612903225811</v>
      </c>
      <c r="K38" s="4">
        <v>81.485032258064521</v>
      </c>
      <c r="L38" s="4">
        <v>83.141322580645181</v>
      </c>
      <c r="M38" s="4">
        <v>84.880427419354845</v>
      </c>
      <c r="N38" s="4">
        <v>86.706487500000009</v>
      </c>
      <c r="O38" s="5">
        <v>88.623850584677427</v>
      </c>
      <c r="P38" s="7">
        <v>80.101161290322594</v>
      </c>
      <c r="Q38" s="4">
        <v>81.688258064516134</v>
      </c>
      <c r="R38" s="4">
        <v>83.354709677419365</v>
      </c>
      <c r="S38" s="4">
        <v>85.104483870967741</v>
      </c>
      <c r="T38" s="4">
        <v>86.941746774193547</v>
      </c>
      <c r="U38" s="5">
        <v>88.870872822580665</v>
      </c>
      <c r="V38" s="7">
        <v>79.907612903225811</v>
      </c>
      <c r="W38" s="4">
        <v>81.485032258064521</v>
      </c>
      <c r="X38" s="4">
        <v>83.141322580645181</v>
      </c>
      <c r="Y38" s="4">
        <v>84.880427419354845</v>
      </c>
      <c r="Z38" s="4">
        <v>86.706487500000009</v>
      </c>
      <c r="AA38" s="5">
        <v>88.623850584677427</v>
      </c>
      <c r="AB38" s="7">
        <v>80.101161290322594</v>
      </c>
      <c r="AC38" s="4">
        <v>81.688258064516134</v>
      </c>
      <c r="AD38" s="4">
        <v>83.354709677419365</v>
      </c>
      <c r="AE38" s="4">
        <v>85.104483870967741</v>
      </c>
      <c r="AF38" s="4">
        <v>88.962735967741935</v>
      </c>
      <c r="AG38" s="5">
        <v>90.992911475806466</v>
      </c>
      <c r="AH38" s="7">
        <v>80.101161290322594</v>
      </c>
      <c r="AI38" s="4">
        <v>81.688258064516134</v>
      </c>
      <c r="AJ38" s="4">
        <v>83.354709677419365</v>
      </c>
      <c r="AK38" s="4">
        <v>85.104483870967741</v>
      </c>
      <c r="AL38" s="4">
        <v>86.941746774193547</v>
      </c>
      <c r="AM38" s="5">
        <v>88.870872822580665</v>
      </c>
      <c r="AN38" s="7">
        <v>80.101161290322594</v>
      </c>
      <c r="AO38" s="4">
        <v>81.688258064516134</v>
      </c>
      <c r="AP38" s="4">
        <v>83.354709677419365</v>
      </c>
      <c r="AQ38" s="4">
        <v>85.104483870967741</v>
      </c>
      <c r="AR38" s="4">
        <v>86.941746774193547</v>
      </c>
      <c r="AS38" s="5">
        <v>88.870872822580665</v>
      </c>
      <c r="AT38" s="7">
        <v>79.907612903225811</v>
      </c>
      <c r="AU38" s="4">
        <v>81.485032258064521</v>
      </c>
      <c r="AV38" s="4">
        <v>83.141322580645181</v>
      </c>
      <c r="AW38" s="4">
        <v>84.880427419354845</v>
      </c>
      <c r="AX38" s="4">
        <v>86.706487500000009</v>
      </c>
      <c r="AY38" s="5">
        <v>88.623850584677427</v>
      </c>
      <c r="AZ38" s="7">
        <v>79.907612903225811</v>
      </c>
      <c r="BA38" s="4">
        <v>81.485032258064521</v>
      </c>
      <c r="BB38" s="4">
        <v>83.141322580645181</v>
      </c>
      <c r="BC38" s="4">
        <v>84.880427419354845</v>
      </c>
      <c r="BD38" s="4">
        <v>86.706487500000009</v>
      </c>
      <c r="BE38" s="5">
        <v>88.623850584677427</v>
      </c>
      <c r="BF38" s="7">
        <v>79.907612903225811</v>
      </c>
      <c r="BG38" s="4">
        <v>81.485032258064521</v>
      </c>
      <c r="BH38" s="4">
        <v>83.141322580645181</v>
      </c>
      <c r="BI38" s="4">
        <v>84.880427419354845</v>
      </c>
      <c r="BJ38" s="4">
        <v>86.706487500000009</v>
      </c>
      <c r="BK38" s="5">
        <v>88.623850584677427</v>
      </c>
      <c r="BL38" s="7">
        <v>79.907612903225811</v>
      </c>
      <c r="BM38" s="4">
        <v>81.485032258064521</v>
      </c>
      <c r="BN38" s="4">
        <v>83.141322580645181</v>
      </c>
      <c r="BO38" s="4">
        <v>84.880427419354845</v>
      </c>
      <c r="BP38" s="4">
        <v>86.706487500000009</v>
      </c>
      <c r="BQ38" s="5">
        <v>88.623850584677427</v>
      </c>
      <c r="BR38" s="7">
        <v>79.907612903225811</v>
      </c>
      <c r="BS38" s="4">
        <v>81.485032258064521</v>
      </c>
      <c r="BT38" s="4">
        <v>83.141322580645181</v>
      </c>
      <c r="BU38" s="4">
        <v>84.880427419354845</v>
      </c>
      <c r="BV38" s="4">
        <v>86.706487500000009</v>
      </c>
      <c r="BW38" s="5">
        <v>88.623850584677427</v>
      </c>
      <c r="BX38" s="7">
        <v>79.907612903225811</v>
      </c>
      <c r="BY38" s="4">
        <v>81.485032258064521</v>
      </c>
      <c r="BZ38" s="4">
        <v>83.141322580645181</v>
      </c>
      <c r="CA38" s="4">
        <v>84.880427419354845</v>
      </c>
      <c r="CB38" s="4">
        <v>86.706487500000009</v>
      </c>
      <c r="CC38" s="5">
        <v>88.623850584677427</v>
      </c>
      <c r="CD38" s="7">
        <v>79.907612903225811</v>
      </c>
      <c r="CE38" s="4">
        <v>81.485032258064521</v>
      </c>
      <c r="CF38" s="4">
        <v>83.141322580645181</v>
      </c>
      <c r="CG38" s="4">
        <v>84.880427419354845</v>
      </c>
      <c r="CH38" s="4">
        <v>86.706487500000009</v>
      </c>
      <c r="CI38" s="5">
        <v>88.623850584677427</v>
      </c>
      <c r="CJ38" s="7">
        <v>79.907612903225811</v>
      </c>
      <c r="CK38" s="4">
        <v>81.485032258064521</v>
      </c>
      <c r="CL38" s="4">
        <v>83.141322580645181</v>
      </c>
      <c r="CM38" s="4">
        <v>84.880427419354845</v>
      </c>
      <c r="CN38" s="4">
        <v>86.706487500000009</v>
      </c>
      <c r="CO38" s="5">
        <v>88.623850584677427</v>
      </c>
      <c r="CP38" s="7">
        <v>79.907612903225811</v>
      </c>
      <c r="CQ38" s="4">
        <v>81.485032258064521</v>
      </c>
      <c r="CR38" s="4">
        <v>83.141322580645181</v>
      </c>
      <c r="CS38" s="4">
        <v>84.880427419354845</v>
      </c>
      <c r="CT38" s="4">
        <v>86.706487500000009</v>
      </c>
      <c r="CU38" s="5">
        <v>88.623850584677427</v>
      </c>
      <c r="CV38" s="7">
        <v>59.220705882352945</v>
      </c>
      <c r="CW38" s="4">
        <v>60.371294117647068</v>
      </c>
      <c r="CX38" s="4">
        <v>61.579411764705895</v>
      </c>
      <c r="CY38" s="4">
        <v>62.847935294117654</v>
      </c>
      <c r="CZ38" s="4">
        <v>64.179885000000013</v>
      </c>
      <c r="DA38" s="5">
        <v>65.578432191176489</v>
      </c>
      <c r="DB38" s="7">
        <v>60.491294117647072</v>
      </c>
      <c r="DC38" s="4">
        <v>61.705411764705893</v>
      </c>
      <c r="DD38" s="4">
        <v>62.980235294117662</v>
      </c>
      <c r="DE38" s="4">
        <v>66.99592941176472</v>
      </c>
      <c r="DF38" s="4">
        <v>71.613977647058846</v>
      </c>
      <c r="DG38" s="5">
        <v>76.924733117647065</v>
      </c>
      <c r="DH38" s="7">
        <v>60.491294117647072</v>
      </c>
      <c r="DI38" s="4">
        <v>61.705411764705893</v>
      </c>
      <c r="DJ38" s="4">
        <v>62.980235294117662</v>
      </c>
      <c r="DK38" s="4">
        <v>66.99592941176472</v>
      </c>
      <c r="DL38" s="4">
        <v>71.613977647058846</v>
      </c>
      <c r="DM38" s="6">
        <v>76.924733117647065</v>
      </c>
      <c r="DN38" s="8">
        <v>71.984640000000013</v>
      </c>
      <c r="DO38" s="4">
        <v>74.66354823529413</v>
      </c>
      <c r="DP38" s="4">
        <v>76.206084705882375</v>
      </c>
      <c r="DQ38" s="4">
        <v>81.065074588235319</v>
      </c>
      <c r="DR38" s="6">
        <v>85.220633400000025</v>
      </c>
      <c r="DS38" s="9">
        <v>90.001937747647062</v>
      </c>
      <c r="DT38" s="8">
        <v>86.381568000000016</v>
      </c>
      <c r="DU38" s="4">
        <v>89.596257882352958</v>
      </c>
      <c r="DV38" s="4">
        <v>91.44730164705885</v>
      </c>
      <c r="DW38" s="4">
        <v>94.84613726823531</v>
      </c>
      <c r="DX38" s="6">
        <v>101.41255374600001</v>
      </c>
      <c r="DY38" s="9">
        <v>107.1023059197</v>
      </c>
      <c r="DZ38" s="8">
        <v>86.381568000000016</v>
      </c>
      <c r="EA38" s="4">
        <v>89.596257882352958</v>
      </c>
      <c r="EB38" s="4">
        <v>91.44730164705885</v>
      </c>
      <c r="EC38" s="4">
        <v>94.84613726823531</v>
      </c>
      <c r="ED38" s="6">
        <v>101.41255374600001</v>
      </c>
      <c r="EE38" s="9">
        <v>107.1023059197</v>
      </c>
      <c r="EF38" s="7">
        <v>60.491294117647072</v>
      </c>
      <c r="EG38" s="4">
        <v>61.705411764705893</v>
      </c>
      <c r="EH38" s="4">
        <v>62.980235294117662</v>
      </c>
      <c r="EI38" s="4">
        <v>66.99592941176472</v>
      </c>
      <c r="EJ38" s="4">
        <v>71.613977647058846</v>
      </c>
      <c r="EK38" s="5">
        <v>76.924733117647065</v>
      </c>
      <c r="EL38" s="14">
        <v>79.907612903225811</v>
      </c>
      <c r="EM38" s="7">
        <v>80.101161290322594</v>
      </c>
      <c r="EN38" s="4">
        <v>81.688258064516134</v>
      </c>
      <c r="EO38" s="4">
        <v>83.354709677419365</v>
      </c>
      <c r="EP38" s="4">
        <v>86.854258064516145</v>
      </c>
      <c r="EQ38" s="4">
        <v>90.703761290322589</v>
      </c>
      <c r="ER38" s="5">
        <v>94.938214838709698</v>
      </c>
      <c r="ES38" s="7">
        <v>80.101161290322594</v>
      </c>
      <c r="ET38" s="4">
        <v>81.688258064516134</v>
      </c>
      <c r="EU38" s="4">
        <v>83.354709677419365</v>
      </c>
      <c r="EV38" s="4">
        <v>86.854258064516145</v>
      </c>
      <c r="EW38" s="4">
        <v>90.703761290322589</v>
      </c>
      <c r="EX38" s="5">
        <v>94.938214838709698</v>
      </c>
      <c r="EY38" s="7">
        <v>81.649548387096786</v>
      </c>
      <c r="EZ38" s="4">
        <v>83.314064516129037</v>
      </c>
      <c r="FA38" s="4">
        <v>85.061806451612924</v>
      </c>
      <c r="FB38" s="4">
        <v>90.56719354838711</v>
      </c>
      <c r="FC38" s="4">
        <v>96.898388709677434</v>
      </c>
      <c r="FD38" s="5">
        <v>104.17926314516129</v>
      </c>
    </row>
    <row r="39" spans="2:160" x14ac:dyDescent="0.3">
      <c r="B39" s="2">
        <v>25.001000000000001</v>
      </c>
      <c r="C39" s="3">
        <v>26</v>
      </c>
      <c r="D39" s="8">
        <v>83.10116129032258</v>
      </c>
      <c r="E39" s="4">
        <v>84.765677419354844</v>
      </c>
      <c r="F39" s="4">
        <v>86.513419354838732</v>
      </c>
      <c r="G39" s="4">
        <v>88.348548387096798</v>
      </c>
      <c r="H39" s="4">
        <v>90.27543387096776</v>
      </c>
      <c r="I39" s="9">
        <v>92.298663629032262</v>
      </c>
      <c r="J39" s="30">
        <v>83.294709677419348</v>
      </c>
      <c r="K39" s="4">
        <v>84.968903225806457</v>
      </c>
      <c r="L39" s="4">
        <v>86.726806451612916</v>
      </c>
      <c r="M39" s="4">
        <v>88.572604838709694</v>
      </c>
      <c r="N39" s="4">
        <v>90.510693145161312</v>
      </c>
      <c r="O39" s="5">
        <v>92.545685866935514</v>
      </c>
      <c r="P39" s="7">
        <v>83.488258064516131</v>
      </c>
      <c r="Q39" s="4">
        <v>85.17212903225807</v>
      </c>
      <c r="R39" s="4">
        <v>86.940193548387114</v>
      </c>
      <c r="S39" s="4">
        <v>88.796661290322604</v>
      </c>
      <c r="T39" s="4">
        <v>90.74595241935485</v>
      </c>
      <c r="U39" s="5">
        <v>92.792708104838738</v>
      </c>
      <c r="V39" s="7">
        <v>83.294709677419348</v>
      </c>
      <c r="W39" s="4">
        <v>84.968903225806457</v>
      </c>
      <c r="X39" s="4">
        <v>86.726806451612916</v>
      </c>
      <c r="Y39" s="4">
        <v>88.572604838709694</v>
      </c>
      <c r="Z39" s="4">
        <v>90.510693145161312</v>
      </c>
      <c r="AA39" s="5">
        <v>92.545685866935514</v>
      </c>
      <c r="AB39" s="7">
        <v>83.488258064516131</v>
      </c>
      <c r="AC39" s="4">
        <v>85.17212903225807</v>
      </c>
      <c r="AD39" s="4">
        <v>86.940193548387114</v>
      </c>
      <c r="AE39" s="4">
        <v>88.796661290322604</v>
      </c>
      <c r="AF39" s="4">
        <v>92.89017266129035</v>
      </c>
      <c r="AG39" s="5">
        <v>95.044139358870993</v>
      </c>
      <c r="AH39" s="7">
        <v>83.488258064516131</v>
      </c>
      <c r="AI39" s="4">
        <v>85.17212903225807</v>
      </c>
      <c r="AJ39" s="4">
        <v>86.940193548387114</v>
      </c>
      <c r="AK39" s="4">
        <v>88.796661290322604</v>
      </c>
      <c r="AL39" s="4">
        <v>90.74595241935485</v>
      </c>
      <c r="AM39" s="5">
        <v>92.792708104838738</v>
      </c>
      <c r="AN39" s="7">
        <v>83.488258064516131</v>
      </c>
      <c r="AO39" s="4">
        <v>85.17212903225807</v>
      </c>
      <c r="AP39" s="4">
        <v>86.940193548387114</v>
      </c>
      <c r="AQ39" s="4">
        <v>88.796661290322604</v>
      </c>
      <c r="AR39" s="4">
        <v>90.74595241935485</v>
      </c>
      <c r="AS39" s="5">
        <v>92.792708104838738</v>
      </c>
      <c r="AT39" s="7">
        <v>83.294709677419348</v>
      </c>
      <c r="AU39" s="4">
        <v>84.968903225806457</v>
      </c>
      <c r="AV39" s="4">
        <v>86.726806451612916</v>
      </c>
      <c r="AW39" s="4">
        <v>88.572604838709694</v>
      </c>
      <c r="AX39" s="4">
        <v>90.510693145161312</v>
      </c>
      <c r="AY39" s="5">
        <v>92.545685866935514</v>
      </c>
      <c r="AZ39" s="7">
        <v>83.294709677419348</v>
      </c>
      <c r="BA39" s="4">
        <v>84.968903225806457</v>
      </c>
      <c r="BB39" s="4">
        <v>86.726806451612916</v>
      </c>
      <c r="BC39" s="4">
        <v>88.572604838709694</v>
      </c>
      <c r="BD39" s="4">
        <v>90.510693145161312</v>
      </c>
      <c r="BE39" s="5">
        <v>92.545685866935514</v>
      </c>
      <c r="BF39" s="7">
        <v>83.294709677419348</v>
      </c>
      <c r="BG39" s="4">
        <v>84.968903225806457</v>
      </c>
      <c r="BH39" s="4">
        <v>86.726806451612916</v>
      </c>
      <c r="BI39" s="4">
        <v>88.572604838709694</v>
      </c>
      <c r="BJ39" s="4">
        <v>90.510693145161312</v>
      </c>
      <c r="BK39" s="5">
        <v>92.545685866935514</v>
      </c>
      <c r="BL39" s="7">
        <v>83.294709677419348</v>
      </c>
      <c r="BM39" s="4">
        <v>84.968903225806457</v>
      </c>
      <c r="BN39" s="4">
        <v>86.726806451612916</v>
      </c>
      <c r="BO39" s="4">
        <v>88.572604838709694</v>
      </c>
      <c r="BP39" s="4">
        <v>90.510693145161312</v>
      </c>
      <c r="BQ39" s="5">
        <v>92.545685866935514</v>
      </c>
      <c r="BR39" s="7">
        <v>83.294709677419348</v>
      </c>
      <c r="BS39" s="4">
        <v>84.968903225806457</v>
      </c>
      <c r="BT39" s="4">
        <v>86.726806451612916</v>
      </c>
      <c r="BU39" s="4">
        <v>88.572604838709694</v>
      </c>
      <c r="BV39" s="4">
        <v>90.510693145161312</v>
      </c>
      <c r="BW39" s="5">
        <v>92.545685866935514</v>
      </c>
      <c r="BX39" s="7">
        <v>83.294709677419348</v>
      </c>
      <c r="BY39" s="4">
        <v>84.968903225806457</v>
      </c>
      <c r="BZ39" s="4">
        <v>86.726806451612916</v>
      </c>
      <c r="CA39" s="4">
        <v>88.572604838709694</v>
      </c>
      <c r="CB39" s="4">
        <v>90.510693145161312</v>
      </c>
      <c r="CC39" s="5">
        <v>92.545685866935514</v>
      </c>
      <c r="CD39" s="7">
        <v>83.294709677419348</v>
      </c>
      <c r="CE39" s="4">
        <v>84.968903225806457</v>
      </c>
      <c r="CF39" s="4">
        <v>86.726806451612916</v>
      </c>
      <c r="CG39" s="4">
        <v>88.572604838709694</v>
      </c>
      <c r="CH39" s="4">
        <v>90.510693145161312</v>
      </c>
      <c r="CI39" s="5">
        <v>92.545685866935514</v>
      </c>
      <c r="CJ39" s="7">
        <v>83.294709677419348</v>
      </c>
      <c r="CK39" s="4">
        <v>84.968903225806457</v>
      </c>
      <c r="CL39" s="4">
        <v>86.726806451612916</v>
      </c>
      <c r="CM39" s="4">
        <v>88.572604838709694</v>
      </c>
      <c r="CN39" s="4">
        <v>90.510693145161312</v>
      </c>
      <c r="CO39" s="5">
        <v>92.545685866935514</v>
      </c>
      <c r="CP39" s="7">
        <v>83.294709677419348</v>
      </c>
      <c r="CQ39" s="4">
        <v>84.968903225806457</v>
      </c>
      <c r="CR39" s="4">
        <v>86.726806451612916</v>
      </c>
      <c r="CS39" s="4">
        <v>88.572604838709694</v>
      </c>
      <c r="CT39" s="4">
        <v>90.510693145161312</v>
      </c>
      <c r="CU39" s="5">
        <v>92.545685866935514</v>
      </c>
      <c r="CV39" s="7">
        <v>61.691294117647061</v>
      </c>
      <c r="CW39" s="4">
        <v>62.912470588235315</v>
      </c>
      <c r="CX39" s="4">
        <v>64.194705882352963</v>
      </c>
      <c r="CY39" s="4">
        <v>65.541052941176503</v>
      </c>
      <c r="CZ39" s="4">
        <v>66.954717352941202</v>
      </c>
      <c r="DA39" s="5">
        <v>68.439064985294138</v>
      </c>
      <c r="DB39" s="7">
        <v>62.961882352941188</v>
      </c>
      <c r="DC39" s="4">
        <v>64.246588235294126</v>
      </c>
      <c r="DD39" s="4">
        <v>65.595529411764716</v>
      </c>
      <c r="DE39" s="4">
        <v>69.84469411764708</v>
      </c>
      <c r="DF39" s="4">
        <v>74.731233529411782</v>
      </c>
      <c r="DG39" s="5">
        <v>80.350753852941168</v>
      </c>
      <c r="DH39" s="7">
        <v>62.961882352941188</v>
      </c>
      <c r="DI39" s="4">
        <v>64.246588235294126</v>
      </c>
      <c r="DJ39" s="4">
        <v>65.595529411764716</v>
      </c>
      <c r="DK39" s="4">
        <v>69.84469411764708</v>
      </c>
      <c r="DL39" s="4">
        <v>74.731233529411782</v>
      </c>
      <c r="DM39" s="6">
        <v>80.350753852941168</v>
      </c>
      <c r="DN39" s="8">
        <v>74.924640000000011</v>
      </c>
      <c r="DO39" s="4">
        <v>77.738371764705903</v>
      </c>
      <c r="DP39" s="4">
        <v>79.370590588235316</v>
      </c>
      <c r="DQ39" s="4">
        <v>84.512079882352964</v>
      </c>
      <c r="DR39" s="6">
        <v>88.930167900000015</v>
      </c>
      <c r="DS39" s="9">
        <v>94.010382007941175</v>
      </c>
      <c r="DT39" s="8">
        <v>89.909568000000007</v>
      </c>
      <c r="DU39" s="4">
        <v>93.286046117647089</v>
      </c>
      <c r="DV39" s="4">
        <v>95.244708705882374</v>
      </c>
      <c r="DW39" s="4">
        <v>98.879133462352968</v>
      </c>
      <c r="DX39" s="6">
        <v>105.82689980100002</v>
      </c>
      <c r="DY39" s="9">
        <v>111.87235458945</v>
      </c>
      <c r="DZ39" s="8">
        <v>89.909568000000007</v>
      </c>
      <c r="EA39" s="4">
        <v>93.286046117647089</v>
      </c>
      <c r="EB39" s="4">
        <v>95.244708705882374</v>
      </c>
      <c r="EC39" s="4">
        <v>98.879133462352968</v>
      </c>
      <c r="ED39" s="6">
        <v>105.82689980100002</v>
      </c>
      <c r="EE39" s="9">
        <v>111.87235458945</v>
      </c>
      <c r="EF39" s="7">
        <v>62.961882352941188</v>
      </c>
      <c r="EG39" s="4">
        <v>64.246588235294126</v>
      </c>
      <c r="EH39" s="4">
        <v>65.595529411764716</v>
      </c>
      <c r="EI39" s="4">
        <v>69.84469411764708</v>
      </c>
      <c r="EJ39" s="4">
        <v>74.731233529411782</v>
      </c>
      <c r="EK39" s="5">
        <v>80.350753852941168</v>
      </c>
      <c r="EL39" s="14">
        <v>83.294709677419348</v>
      </c>
      <c r="EM39" s="7">
        <v>83.488258064516131</v>
      </c>
      <c r="EN39" s="4">
        <v>85.17212903225807</v>
      </c>
      <c r="EO39" s="4">
        <v>86.940193548387114</v>
      </c>
      <c r="EP39" s="4">
        <v>90.653129032258079</v>
      </c>
      <c r="EQ39" s="4">
        <v>94.737358064516158</v>
      </c>
      <c r="ER39" s="5">
        <v>99.230010000000021</v>
      </c>
      <c r="ES39" s="7">
        <v>83.488258064516131</v>
      </c>
      <c r="ET39" s="4">
        <v>85.17212903225807</v>
      </c>
      <c r="EU39" s="4">
        <v>86.940193548387114</v>
      </c>
      <c r="EV39" s="4">
        <v>90.653129032258079</v>
      </c>
      <c r="EW39" s="4">
        <v>94.737358064516158</v>
      </c>
      <c r="EX39" s="5">
        <v>99.230010000000021</v>
      </c>
      <c r="EY39" s="7">
        <v>85.036645161290338</v>
      </c>
      <c r="EZ39" s="4">
        <v>86.797935483870958</v>
      </c>
      <c r="FA39" s="4">
        <v>88.647290322580645</v>
      </c>
      <c r="FB39" s="4">
        <v>94.472758064516142</v>
      </c>
      <c r="FC39" s="4">
        <v>101.17204596774194</v>
      </c>
      <c r="FD39" s="5">
        <v>108.87622705645161</v>
      </c>
    </row>
    <row r="40" spans="2:160" x14ac:dyDescent="0.3">
      <c r="B40" s="2">
        <v>26.001000000000001</v>
      </c>
      <c r="C40" s="3">
        <v>27</v>
      </c>
      <c r="D40" s="8">
        <v>86.488258064516131</v>
      </c>
      <c r="E40" s="4">
        <v>88.24954838709678</v>
      </c>
      <c r="F40" s="4">
        <v>90.098903225806453</v>
      </c>
      <c r="G40" s="4">
        <v>92.040725806451618</v>
      </c>
      <c r="H40" s="4">
        <v>94.079639516129049</v>
      </c>
      <c r="I40" s="9">
        <v>96.220498911290335</v>
      </c>
      <c r="J40" s="30">
        <v>86.6818064516129</v>
      </c>
      <c r="K40" s="4">
        <v>88.452774193548393</v>
      </c>
      <c r="L40" s="4">
        <v>90.312290322580651</v>
      </c>
      <c r="M40" s="4">
        <v>92.264782258064514</v>
      </c>
      <c r="N40" s="4">
        <v>94.314898790322573</v>
      </c>
      <c r="O40" s="5">
        <v>96.467521149193558</v>
      </c>
      <c r="P40" s="7">
        <v>86.875354838709683</v>
      </c>
      <c r="Q40" s="4">
        <v>88.656000000000006</v>
      </c>
      <c r="R40" s="4">
        <v>90.525677419354835</v>
      </c>
      <c r="S40" s="4">
        <v>92.488838709677438</v>
      </c>
      <c r="T40" s="4">
        <v>94.550158064516154</v>
      </c>
      <c r="U40" s="5">
        <v>96.714543387096796</v>
      </c>
      <c r="V40" s="7">
        <v>86.6818064516129</v>
      </c>
      <c r="W40" s="4">
        <v>88.452774193548393</v>
      </c>
      <c r="X40" s="4">
        <v>90.312290322580651</v>
      </c>
      <c r="Y40" s="4">
        <v>92.264782258064514</v>
      </c>
      <c r="Z40" s="4">
        <v>94.314898790322573</v>
      </c>
      <c r="AA40" s="5">
        <v>96.467521149193558</v>
      </c>
      <c r="AB40" s="7">
        <v>86.875354838709683</v>
      </c>
      <c r="AC40" s="4">
        <v>88.656000000000006</v>
      </c>
      <c r="AD40" s="4">
        <v>90.525677419354835</v>
      </c>
      <c r="AE40" s="4">
        <v>92.488838709677438</v>
      </c>
      <c r="AF40" s="4">
        <v>96.817609354838709</v>
      </c>
      <c r="AG40" s="5">
        <v>99.095367241935492</v>
      </c>
      <c r="AH40" s="7">
        <v>86.875354838709683</v>
      </c>
      <c r="AI40" s="4">
        <v>88.656000000000006</v>
      </c>
      <c r="AJ40" s="4">
        <v>90.525677419354835</v>
      </c>
      <c r="AK40" s="4">
        <v>92.488838709677438</v>
      </c>
      <c r="AL40" s="4">
        <v>94.550158064516154</v>
      </c>
      <c r="AM40" s="5">
        <v>96.714543387096796</v>
      </c>
      <c r="AN40" s="7">
        <v>86.875354838709683</v>
      </c>
      <c r="AO40" s="4">
        <v>88.656000000000006</v>
      </c>
      <c r="AP40" s="4">
        <v>90.525677419354835</v>
      </c>
      <c r="AQ40" s="4">
        <v>92.488838709677438</v>
      </c>
      <c r="AR40" s="4">
        <v>94.550158064516154</v>
      </c>
      <c r="AS40" s="5">
        <v>96.714543387096796</v>
      </c>
      <c r="AT40" s="7">
        <v>86.6818064516129</v>
      </c>
      <c r="AU40" s="4">
        <v>88.452774193548393</v>
      </c>
      <c r="AV40" s="4">
        <v>90.312290322580651</v>
      </c>
      <c r="AW40" s="4">
        <v>92.264782258064514</v>
      </c>
      <c r="AX40" s="4">
        <v>94.314898790322573</v>
      </c>
      <c r="AY40" s="5">
        <v>96.467521149193558</v>
      </c>
      <c r="AZ40" s="7">
        <v>86.6818064516129</v>
      </c>
      <c r="BA40" s="4">
        <v>88.452774193548393</v>
      </c>
      <c r="BB40" s="4">
        <v>90.312290322580651</v>
      </c>
      <c r="BC40" s="4">
        <v>92.264782258064514</v>
      </c>
      <c r="BD40" s="4">
        <v>94.314898790322573</v>
      </c>
      <c r="BE40" s="5">
        <v>96.467521149193558</v>
      </c>
      <c r="BF40" s="7">
        <v>86.6818064516129</v>
      </c>
      <c r="BG40" s="4">
        <v>88.452774193548393</v>
      </c>
      <c r="BH40" s="4">
        <v>90.312290322580651</v>
      </c>
      <c r="BI40" s="4">
        <v>92.264782258064514</v>
      </c>
      <c r="BJ40" s="4">
        <v>94.314898790322573</v>
      </c>
      <c r="BK40" s="5">
        <v>96.467521149193558</v>
      </c>
      <c r="BL40" s="7">
        <v>86.6818064516129</v>
      </c>
      <c r="BM40" s="4">
        <v>88.452774193548393</v>
      </c>
      <c r="BN40" s="4">
        <v>90.312290322580651</v>
      </c>
      <c r="BO40" s="4">
        <v>92.264782258064514</v>
      </c>
      <c r="BP40" s="4">
        <v>94.314898790322573</v>
      </c>
      <c r="BQ40" s="5">
        <v>96.467521149193558</v>
      </c>
      <c r="BR40" s="7">
        <v>86.6818064516129</v>
      </c>
      <c r="BS40" s="4">
        <v>88.452774193548393</v>
      </c>
      <c r="BT40" s="4">
        <v>90.312290322580651</v>
      </c>
      <c r="BU40" s="4">
        <v>92.264782258064514</v>
      </c>
      <c r="BV40" s="4">
        <v>94.314898790322573</v>
      </c>
      <c r="BW40" s="5">
        <v>96.467521149193558</v>
      </c>
      <c r="BX40" s="7">
        <v>86.6818064516129</v>
      </c>
      <c r="BY40" s="4">
        <v>88.452774193548393</v>
      </c>
      <c r="BZ40" s="4">
        <v>90.312290322580651</v>
      </c>
      <c r="CA40" s="4">
        <v>92.264782258064514</v>
      </c>
      <c r="CB40" s="4">
        <v>94.314898790322573</v>
      </c>
      <c r="CC40" s="5">
        <v>96.467521149193558</v>
      </c>
      <c r="CD40" s="7">
        <v>86.6818064516129</v>
      </c>
      <c r="CE40" s="4">
        <v>88.452774193548393</v>
      </c>
      <c r="CF40" s="4">
        <v>90.312290322580651</v>
      </c>
      <c r="CG40" s="4">
        <v>92.264782258064514</v>
      </c>
      <c r="CH40" s="4">
        <v>94.314898790322573</v>
      </c>
      <c r="CI40" s="5">
        <v>96.467521149193558</v>
      </c>
      <c r="CJ40" s="7">
        <v>86.6818064516129</v>
      </c>
      <c r="CK40" s="4">
        <v>88.452774193548393</v>
      </c>
      <c r="CL40" s="4">
        <v>90.312290322580651</v>
      </c>
      <c r="CM40" s="4">
        <v>92.264782258064514</v>
      </c>
      <c r="CN40" s="4">
        <v>94.314898790322573</v>
      </c>
      <c r="CO40" s="5">
        <v>96.467521149193558</v>
      </c>
      <c r="CP40" s="7">
        <v>86.6818064516129</v>
      </c>
      <c r="CQ40" s="4">
        <v>88.452774193548393</v>
      </c>
      <c r="CR40" s="4">
        <v>90.312290322580651</v>
      </c>
      <c r="CS40" s="4">
        <v>92.264782258064514</v>
      </c>
      <c r="CT40" s="4">
        <v>94.314898790322573</v>
      </c>
      <c r="CU40" s="5">
        <v>96.467521149193558</v>
      </c>
      <c r="CV40" s="7">
        <v>64.161882352941177</v>
      </c>
      <c r="CW40" s="4">
        <v>65.453647058823549</v>
      </c>
      <c r="CX40" s="4">
        <v>66.810000000000016</v>
      </c>
      <c r="CY40" s="4">
        <v>68.234170588235315</v>
      </c>
      <c r="CZ40" s="4">
        <v>69.729549705882363</v>
      </c>
      <c r="DA40" s="5">
        <v>71.299697779411787</v>
      </c>
      <c r="DB40" s="7">
        <v>65.432470588235304</v>
      </c>
      <c r="DC40" s="4">
        <v>66.787764705882367</v>
      </c>
      <c r="DD40" s="4">
        <v>68.210823529411783</v>
      </c>
      <c r="DE40" s="4">
        <v>72.69345882352944</v>
      </c>
      <c r="DF40" s="4">
        <v>77.848489411764703</v>
      </c>
      <c r="DG40" s="5">
        <v>83.776774588235298</v>
      </c>
      <c r="DH40" s="7">
        <v>65.432470588235304</v>
      </c>
      <c r="DI40" s="4">
        <v>66.787764705882367</v>
      </c>
      <c r="DJ40" s="4">
        <v>68.210823529411783</v>
      </c>
      <c r="DK40" s="4">
        <v>72.69345882352944</v>
      </c>
      <c r="DL40" s="4">
        <v>77.848489411764703</v>
      </c>
      <c r="DM40" s="6">
        <v>83.776774588235298</v>
      </c>
      <c r="DN40" s="8">
        <v>77.864640000000009</v>
      </c>
      <c r="DO40" s="4">
        <v>80.813195294117662</v>
      </c>
      <c r="DP40" s="4">
        <v>82.535096470588257</v>
      </c>
      <c r="DQ40" s="4">
        <v>87.959085176470609</v>
      </c>
      <c r="DR40" s="6">
        <v>92.639702400000004</v>
      </c>
      <c r="DS40" s="9">
        <v>98.018826268235301</v>
      </c>
      <c r="DT40" s="8">
        <v>93.437568000000013</v>
      </c>
      <c r="DU40" s="4">
        <v>96.975834352941192</v>
      </c>
      <c r="DV40" s="4">
        <v>99.042115764705912</v>
      </c>
      <c r="DW40" s="4">
        <v>102.91212965647063</v>
      </c>
      <c r="DX40" s="6">
        <v>110.24124585600001</v>
      </c>
      <c r="DY40" s="9">
        <v>116.64240325919999</v>
      </c>
      <c r="DZ40" s="8">
        <v>93.437568000000013</v>
      </c>
      <c r="EA40" s="4">
        <v>96.975834352941192</v>
      </c>
      <c r="EB40" s="4">
        <v>99.042115764705912</v>
      </c>
      <c r="EC40" s="4">
        <v>102.91212965647063</v>
      </c>
      <c r="ED40" s="6">
        <v>110.24124585600001</v>
      </c>
      <c r="EE40" s="9">
        <v>116.64240325919999</v>
      </c>
      <c r="EF40" s="7">
        <v>65.432470588235304</v>
      </c>
      <c r="EG40" s="4">
        <v>66.787764705882367</v>
      </c>
      <c r="EH40" s="4">
        <v>68.210823529411783</v>
      </c>
      <c r="EI40" s="4">
        <v>72.69345882352944</v>
      </c>
      <c r="EJ40" s="4">
        <v>77.848489411764703</v>
      </c>
      <c r="EK40" s="5">
        <v>83.776774588235298</v>
      </c>
      <c r="EL40" s="14">
        <v>86.6818064516129</v>
      </c>
      <c r="EM40" s="7">
        <v>86.875354838709683</v>
      </c>
      <c r="EN40" s="4">
        <v>88.656000000000006</v>
      </c>
      <c r="EO40" s="4">
        <v>90.525677419354835</v>
      </c>
      <c r="EP40" s="4">
        <v>94.452000000000012</v>
      </c>
      <c r="EQ40" s="4">
        <v>98.770954838709699</v>
      </c>
      <c r="ER40" s="5">
        <v>103.52180516129035</v>
      </c>
      <c r="ES40" s="7">
        <v>86.875354838709683</v>
      </c>
      <c r="ET40" s="4">
        <v>88.656000000000006</v>
      </c>
      <c r="EU40" s="4">
        <v>90.525677419354835</v>
      </c>
      <c r="EV40" s="4">
        <v>94.452000000000012</v>
      </c>
      <c r="EW40" s="4">
        <v>98.770954838709699</v>
      </c>
      <c r="EX40" s="5">
        <v>103.52180516129035</v>
      </c>
      <c r="EY40" s="7">
        <v>88.423741935483875</v>
      </c>
      <c r="EZ40" s="4">
        <v>90.281806451612908</v>
      </c>
      <c r="FA40" s="4">
        <v>92.232774193548408</v>
      </c>
      <c r="FB40" s="4">
        <v>98.378322580645175</v>
      </c>
      <c r="FC40" s="4">
        <v>105.44570322580645</v>
      </c>
      <c r="FD40" s="5">
        <v>113.57319096774194</v>
      </c>
    </row>
    <row r="41" spans="2:160" x14ac:dyDescent="0.3">
      <c r="B41" s="2">
        <v>27.001000000000001</v>
      </c>
      <c r="C41" s="3">
        <v>28</v>
      </c>
      <c r="D41" s="8">
        <v>89.875354838709683</v>
      </c>
      <c r="E41" s="4">
        <v>91.733419354838716</v>
      </c>
      <c r="F41" s="4">
        <v>93.684387096774202</v>
      </c>
      <c r="G41" s="4">
        <v>95.732903225806467</v>
      </c>
      <c r="H41" s="4">
        <v>97.883845161290338</v>
      </c>
      <c r="I41" s="9">
        <v>100.14233419354841</v>
      </c>
      <c r="J41" s="30">
        <v>90.068903225806437</v>
      </c>
      <c r="K41" s="4">
        <v>91.936645161290315</v>
      </c>
      <c r="L41" s="4">
        <v>93.897774193548386</v>
      </c>
      <c r="M41" s="4">
        <v>95.956959677419363</v>
      </c>
      <c r="N41" s="4">
        <v>98.119104435483877</v>
      </c>
      <c r="O41" s="5">
        <v>100.38935643145163</v>
      </c>
      <c r="P41" s="7">
        <v>90.262451612903249</v>
      </c>
      <c r="Q41" s="4">
        <v>92.139870967741956</v>
      </c>
      <c r="R41" s="4">
        <v>94.111161290322599</v>
      </c>
      <c r="S41" s="4">
        <v>96.181016129032258</v>
      </c>
      <c r="T41" s="4">
        <v>98.354363709677429</v>
      </c>
      <c r="U41" s="5">
        <v>100.63637866935485</v>
      </c>
      <c r="V41" s="7">
        <v>90.068903225806437</v>
      </c>
      <c r="W41" s="4">
        <v>91.936645161290315</v>
      </c>
      <c r="X41" s="4">
        <v>93.897774193548386</v>
      </c>
      <c r="Y41" s="4">
        <v>95.956959677419363</v>
      </c>
      <c r="Z41" s="4">
        <v>98.119104435483877</v>
      </c>
      <c r="AA41" s="5">
        <v>100.38935643145163</v>
      </c>
      <c r="AB41" s="7">
        <v>90.262451612903249</v>
      </c>
      <c r="AC41" s="4">
        <v>92.139870967741956</v>
      </c>
      <c r="AD41" s="4">
        <v>94.111161290322599</v>
      </c>
      <c r="AE41" s="4">
        <v>96.181016129032258</v>
      </c>
      <c r="AF41" s="4">
        <v>100.74504604838711</v>
      </c>
      <c r="AG41" s="5">
        <v>103.146595125</v>
      </c>
      <c r="AH41" s="7">
        <v>90.262451612903249</v>
      </c>
      <c r="AI41" s="4">
        <v>92.139870967741956</v>
      </c>
      <c r="AJ41" s="4">
        <v>94.111161290322599</v>
      </c>
      <c r="AK41" s="4">
        <v>96.181016129032258</v>
      </c>
      <c r="AL41" s="4">
        <v>98.354363709677429</v>
      </c>
      <c r="AM41" s="5">
        <v>100.63637866935485</v>
      </c>
      <c r="AN41" s="7">
        <v>90.262451612903249</v>
      </c>
      <c r="AO41" s="4">
        <v>92.139870967741956</v>
      </c>
      <c r="AP41" s="4">
        <v>94.111161290322599</v>
      </c>
      <c r="AQ41" s="4">
        <v>96.181016129032258</v>
      </c>
      <c r="AR41" s="4">
        <v>98.354363709677429</v>
      </c>
      <c r="AS41" s="5">
        <v>100.63637866935485</v>
      </c>
      <c r="AT41" s="7">
        <v>90.068903225806437</v>
      </c>
      <c r="AU41" s="4">
        <v>91.936645161290315</v>
      </c>
      <c r="AV41" s="4">
        <v>93.897774193548386</v>
      </c>
      <c r="AW41" s="4">
        <v>95.956959677419363</v>
      </c>
      <c r="AX41" s="4">
        <v>98.119104435483877</v>
      </c>
      <c r="AY41" s="5">
        <v>100.38935643145163</v>
      </c>
      <c r="AZ41" s="7">
        <v>90.068903225806437</v>
      </c>
      <c r="BA41" s="4">
        <v>91.936645161290315</v>
      </c>
      <c r="BB41" s="4">
        <v>93.897774193548386</v>
      </c>
      <c r="BC41" s="4">
        <v>95.956959677419363</v>
      </c>
      <c r="BD41" s="4">
        <v>98.119104435483877</v>
      </c>
      <c r="BE41" s="5">
        <v>100.38935643145163</v>
      </c>
      <c r="BF41" s="7">
        <v>90.068903225806437</v>
      </c>
      <c r="BG41" s="4">
        <v>91.936645161290315</v>
      </c>
      <c r="BH41" s="4">
        <v>93.897774193548386</v>
      </c>
      <c r="BI41" s="4">
        <v>95.956959677419363</v>
      </c>
      <c r="BJ41" s="4">
        <v>98.119104435483877</v>
      </c>
      <c r="BK41" s="5">
        <v>100.38935643145163</v>
      </c>
      <c r="BL41" s="7">
        <v>90.068903225806437</v>
      </c>
      <c r="BM41" s="4">
        <v>91.936645161290315</v>
      </c>
      <c r="BN41" s="4">
        <v>93.897774193548386</v>
      </c>
      <c r="BO41" s="4">
        <v>95.956959677419363</v>
      </c>
      <c r="BP41" s="4">
        <v>98.119104435483877</v>
      </c>
      <c r="BQ41" s="5">
        <v>100.38935643145163</v>
      </c>
      <c r="BR41" s="7">
        <v>90.068903225806437</v>
      </c>
      <c r="BS41" s="4">
        <v>91.936645161290315</v>
      </c>
      <c r="BT41" s="4">
        <v>93.897774193548386</v>
      </c>
      <c r="BU41" s="4">
        <v>95.956959677419363</v>
      </c>
      <c r="BV41" s="4">
        <v>98.119104435483877</v>
      </c>
      <c r="BW41" s="5">
        <v>100.38935643145163</v>
      </c>
      <c r="BX41" s="7">
        <v>90.068903225806437</v>
      </c>
      <c r="BY41" s="4">
        <v>91.936645161290315</v>
      </c>
      <c r="BZ41" s="4">
        <v>93.897774193548386</v>
      </c>
      <c r="CA41" s="4">
        <v>95.956959677419363</v>
      </c>
      <c r="CB41" s="4">
        <v>98.119104435483877</v>
      </c>
      <c r="CC41" s="5">
        <v>100.38935643145163</v>
      </c>
      <c r="CD41" s="7">
        <v>90.068903225806437</v>
      </c>
      <c r="CE41" s="4">
        <v>91.936645161290315</v>
      </c>
      <c r="CF41" s="4">
        <v>93.897774193548386</v>
      </c>
      <c r="CG41" s="4">
        <v>95.956959677419363</v>
      </c>
      <c r="CH41" s="4">
        <v>98.119104435483877</v>
      </c>
      <c r="CI41" s="5">
        <v>100.38935643145163</v>
      </c>
      <c r="CJ41" s="7">
        <v>90.068903225806437</v>
      </c>
      <c r="CK41" s="4">
        <v>91.936645161290315</v>
      </c>
      <c r="CL41" s="4">
        <v>93.897774193548386</v>
      </c>
      <c r="CM41" s="4">
        <v>95.956959677419363</v>
      </c>
      <c r="CN41" s="4">
        <v>98.119104435483877</v>
      </c>
      <c r="CO41" s="5">
        <v>100.38935643145163</v>
      </c>
      <c r="CP41" s="7">
        <v>90.068903225806437</v>
      </c>
      <c r="CQ41" s="4">
        <v>91.936645161290315</v>
      </c>
      <c r="CR41" s="4">
        <v>93.897774193548386</v>
      </c>
      <c r="CS41" s="4">
        <v>95.956959677419363</v>
      </c>
      <c r="CT41" s="4">
        <v>98.119104435483877</v>
      </c>
      <c r="CU41" s="5">
        <v>100.38935643145163</v>
      </c>
      <c r="CV41" s="7">
        <v>66.632470588235293</v>
      </c>
      <c r="CW41" s="4">
        <v>67.994823529411775</v>
      </c>
      <c r="CX41" s="4">
        <v>69.42529411764707</v>
      </c>
      <c r="CY41" s="4">
        <v>70.927288235294128</v>
      </c>
      <c r="CZ41" s="4">
        <v>72.504382058823552</v>
      </c>
      <c r="DA41" s="5">
        <v>74.160330573529436</v>
      </c>
      <c r="DB41" s="7">
        <v>67.90305882352942</v>
      </c>
      <c r="DC41" s="4">
        <v>69.328941176470607</v>
      </c>
      <c r="DD41" s="4">
        <v>70.826117647058851</v>
      </c>
      <c r="DE41" s="4">
        <v>75.542223529411771</v>
      </c>
      <c r="DF41" s="4">
        <v>80.965745294117653</v>
      </c>
      <c r="DG41" s="5">
        <v>87.202795323529415</v>
      </c>
      <c r="DH41" s="7">
        <v>67.90305882352942</v>
      </c>
      <c r="DI41" s="4">
        <v>69.328941176470607</v>
      </c>
      <c r="DJ41" s="4">
        <v>70.826117647058851</v>
      </c>
      <c r="DK41" s="4">
        <v>75.542223529411771</v>
      </c>
      <c r="DL41" s="4">
        <v>80.965745294117653</v>
      </c>
      <c r="DM41" s="6">
        <v>87.202795323529415</v>
      </c>
      <c r="DN41" s="8">
        <v>80.804640000000006</v>
      </c>
      <c r="DO41" s="4">
        <v>83.888018823529421</v>
      </c>
      <c r="DP41" s="4">
        <v>85.699602352941184</v>
      </c>
      <c r="DQ41" s="4">
        <v>91.406090470588254</v>
      </c>
      <c r="DR41" s="6">
        <v>96.349236900000008</v>
      </c>
      <c r="DS41" s="9">
        <v>102.02727052852941</v>
      </c>
      <c r="DT41" s="8">
        <v>96.965568000000005</v>
      </c>
      <c r="DU41" s="4">
        <v>100.66562258823531</v>
      </c>
      <c r="DV41" s="4">
        <v>102.83952282352942</v>
      </c>
      <c r="DW41" s="4">
        <v>106.94512585058825</v>
      </c>
      <c r="DX41" s="6">
        <v>114.65559191100002</v>
      </c>
      <c r="DY41" s="9">
        <v>121.41245192894999</v>
      </c>
      <c r="DZ41" s="8">
        <v>96.965568000000005</v>
      </c>
      <c r="EA41" s="4">
        <v>100.66562258823531</v>
      </c>
      <c r="EB41" s="4">
        <v>102.83952282352942</v>
      </c>
      <c r="EC41" s="4">
        <v>106.94512585058825</v>
      </c>
      <c r="ED41" s="6">
        <v>114.65559191100002</v>
      </c>
      <c r="EE41" s="9">
        <v>121.41245192894999</v>
      </c>
      <c r="EF41" s="7">
        <v>67.90305882352942</v>
      </c>
      <c r="EG41" s="4">
        <v>69.328941176470607</v>
      </c>
      <c r="EH41" s="4">
        <v>70.826117647058851</v>
      </c>
      <c r="EI41" s="4">
        <v>75.542223529411771</v>
      </c>
      <c r="EJ41" s="4">
        <v>80.965745294117653</v>
      </c>
      <c r="EK41" s="5">
        <v>87.202795323529415</v>
      </c>
      <c r="EL41" s="14">
        <v>90.068903225806437</v>
      </c>
      <c r="EM41" s="7">
        <v>90.262451612903249</v>
      </c>
      <c r="EN41" s="4">
        <v>92.139870967741956</v>
      </c>
      <c r="EO41" s="4">
        <v>94.111161290322599</v>
      </c>
      <c r="EP41" s="4">
        <v>98.250870967741946</v>
      </c>
      <c r="EQ41" s="4">
        <v>102.80455161290325</v>
      </c>
      <c r="ER41" s="5">
        <v>107.81360032258067</v>
      </c>
      <c r="ES41" s="7">
        <v>90.262451612903249</v>
      </c>
      <c r="ET41" s="4">
        <v>92.139870967741956</v>
      </c>
      <c r="EU41" s="4">
        <v>94.111161290322599</v>
      </c>
      <c r="EV41" s="4">
        <v>98.250870967741946</v>
      </c>
      <c r="EW41" s="4">
        <v>102.80455161290325</v>
      </c>
      <c r="EX41" s="5">
        <v>107.81360032258067</v>
      </c>
      <c r="EY41" s="7">
        <v>91.810838709677427</v>
      </c>
      <c r="EZ41" s="4">
        <v>93.765677419354859</v>
      </c>
      <c r="FA41" s="4">
        <v>95.818258064516144</v>
      </c>
      <c r="FB41" s="4">
        <v>102.28388709677419</v>
      </c>
      <c r="FC41" s="4">
        <v>109.71936048387097</v>
      </c>
      <c r="FD41" s="5">
        <v>118.27015487903225</v>
      </c>
    </row>
    <row r="42" spans="2:160" x14ac:dyDescent="0.3">
      <c r="B42" s="2">
        <v>28.001000000000001</v>
      </c>
      <c r="C42" s="3">
        <v>29</v>
      </c>
      <c r="D42" s="8">
        <v>93.26245161290322</v>
      </c>
      <c r="E42" s="4">
        <v>95.217290322580652</v>
      </c>
      <c r="F42" s="4">
        <v>97.269870967741937</v>
      </c>
      <c r="G42" s="4">
        <v>99.425080645161316</v>
      </c>
      <c r="H42" s="4">
        <v>101.68805080645163</v>
      </c>
      <c r="I42" s="9">
        <v>104.06416947580648</v>
      </c>
      <c r="J42" s="30">
        <v>93.455999999999989</v>
      </c>
      <c r="K42" s="4">
        <v>95.420516129032251</v>
      </c>
      <c r="L42" s="4">
        <v>97.48325806451615</v>
      </c>
      <c r="M42" s="4">
        <v>99.649137096774197</v>
      </c>
      <c r="N42" s="4">
        <v>101.92331008064518</v>
      </c>
      <c r="O42" s="5">
        <v>104.3111917137097</v>
      </c>
      <c r="P42" s="7">
        <v>93.649548387096786</v>
      </c>
      <c r="Q42" s="4">
        <v>95.623741935483878</v>
      </c>
      <c r="R42" s="4">
        <v>97.69664516129032</v>
      </c>
      <c r="S42" s="4">
        <v>99.873193548387107</v>
      </c>
      <c r="T42" s="4">
        <v>102.15856935483872</v>
      </c>
      <c r="U42" s="5">
        <v>104.55821395161293</v>
      </c>
      <c r="V42" s="7">
        <v>93.455999999999989</v>
      </c>
      <c r="W42" s="4">
        <v>95.420516129032251</v>
      </c>
      <c r="X42" s="4">
        <v>97.48325806451615</v>
      </c>
      <c r="Y42" s="4">
        <v>99.649137096774197</v>
      </c>
      <c r="Z42" s="4">
        <v>101.92331008064518</v>
      </c>
      <c r="AA42" s="5">
        <v>104.3111917137097</v>
      </c>
      <c r="AB42" s="7">
        <v>93.649548387096786</v>
      </c>
      <c r="AC42" s="4">
        <v>95.623741935483878</v>
      </c>
      <c r="AD42" s="4">
        <v>97.69664516129032</v>
      </c>
      <c r="AE42" s="4">
        <v>99.873193548387107</v>
      </c>
      <c r="AF42" s="4">
        <v>104.67248274193551</v>
      </c>
      <c r="AG42" s="5">
        <v>107.19782300806453</v>
      </c>
      <c r="AH42" s="7">
        <v>93.649548387096786</v>
      </c>
      <c r="AI42" s="4">
        <v>95.623741935483878</v>
      </c>
      <c r="AJ42" s="4">
        <v>97.69664516129032</v>
      </c>
      <c r="AK42" s="4">
        <v>99.873193548387107</v>
      </c>
      <c r="AL42" s="4">
        <v>102.15856935483872</v>
      </c>
      <c r="AM42" s="5">
        <v>104.55821395161293</v>
      </c>
      <c r="AN42" s="7">
        <v>93.649548387096786</v>
      </c>
      <c r="AO42" s="4">
        <v>95.623741935483878</v>
      </c>
      <c r="AP42" s="4">
        <v>97.69664516129032</v>
      </c>
      <c r="AQ42" s="4">
        <v>99.873193548387107</v>
      </c>
      <c r="AR42" s="4">
        <v>102.15856935483872</v>
      </c>
      <c r="AS42" s="5">
        <v>104.55821395161293</v>
      </c>
      <c r="AT42" s="7">
        <v>93.455999999999989</v>
      </c>
      <c r="AU42" s="4">
        <v>95.420516129032251</v>
      </c>
      <c r="AV42" s="4">
        <v>97.48325806451615</v>
      </c>
      <c r="AW42" s="4">
        <v>99.649137096774197</v>
      </c>
      <c r="AX42" s="4">
        <v>101.92331008064518</v>
      </c>
      <c r="AY42" s="5">
        <v>104.3111917137097</v>
      </c>
      <c r="AZ42" s="7">
        <v>93.455999999999989</v>
      </c>
      <c r="BA42" s="4">
        <v>95.420516129032251</v>
      </c>
      <c r="BB42" s="4">
        <v>97.48325806451615</v>
      </c>
      <c r="BC42" s="4">
        <v>99.649137096774197</v>
      </c>
      <c r="BD42" s="4">
        <v>101.92331008064518</v>
      </c>
      <c r="BE42" s="5">
        <v>104.3111917137097</v>
      </c>
      <c r="BF42" s="7">
        <v>93.455999999999989</v>
      </c>
      <c r="BG42" s="4">
        <v>95.420516129032251</v>
      </c>
      <c r="BH42" s="4">
        <v>97.48325806451615</v>
      </c>
      <c r="BI42" s="4">
        <v>99.649137096774197</v>
      </c>
      <c r="BJ42" s="4">
        <v>101.92331008064518</v>
      </c>
      <c r="BK42" s="5">
        <v>104.3111917137097</v>
      </c>
      <c r="BL42" s="7">
        <v>93.455999999999989</v>
      </c>
      <c r="BM42" s="4">
        <v>95.420516129032251</v>
      </c>
      <c r="BN42" s="4">
        <v>97.48325806451615</v>
      </c>
      <c r="BO42" s="4">
        <v>99.649137096774197</v>
      </c>
      <c r="BP42" s="4">
        <v>101.92331008064518</v>
      </c>
      <c r="BQ42" s="5">
        <v>104.3111917137097</v>
      </c>
      <c r="BR42" s="7">
        <v>93.455999999999989</v>
      </c>
      <c r="BS42" s="4">
        <v>95.420516129032251</v>
      </c>
      <c r="BT42" s="4">
        <v>97.48325806451615</v>
      </c>
      <c r="BU42" s="4">
        <v>99.649137096774197</v>
      </c>
      <c r="BV42" s="4">
        <v>101.92331008064518</v>
      </c>
      <c r="BW42" s="5">
        <v>104.3111917137097</v>
      </c>
      <c r="BX42" s="7">
        <v>93.455999999999989</v>
      </c>
      <c r="BY42" s="4">
        <v>95.420516129032251</v>
      </c>
      <c r="BZ42" s="4">
        <v>97.48325806451615</v>
      </c>
      <c r="CA42" s="4">
        <v>99.649137096774197</v>
      </c>
      <c r="CB42" s="4">
        <v>101.92331008064518</v>
      </c>
      <c r="CC42" s="5">
        <v>104.3111917137097</v>
      </c>
      <c r="CD42" s="7">
        <v>93.455999999999989</v>
      </c>
      <c r="CE42" s="4">
        <v>95.420516129032251</v>
      </c>
      <c r="CF42" s="4">
        <v>97.48325806451615</v>
      </c>
      <c r="CG42" s="4">
        <v>99.649137096774197</v>
      </c>
      <c r="CH42" s="4">
        <v>101.92331008064518</v>
      </c>
      <c r="CI42" s="5">
        <v>104.3111917137097</v>
      </c>
      <c r="CJ42" s="7">
        <v>93.455999999999989</v>
      </c>
      <c r="CK42" s="4">
        <v>95.420516129032251</v>
      </c>
      <c r="CL42" s="4">
        <v>97.48325806451615</v>
      </c>
      <c r="CM42" s="4">
        <v>99.649137096774197</v>
      </c>
      <c r="CN42" s="4">
        <v>101.92331008064518</v>
      </c>
      <c r="CO42" s="5">
        <v>104.3111917137097</v>
      </c>
      <c r="CP42" s="7">
        <v>93.455999999999989</v>
      </c>
      <c r="CQ42" s="4">
        <v>95.420516129032251</v>
      </c>
      <c r="CR42" s="4">
        <v>97.48325806451615</v>
      </c>
      <c r="CS42" s="4">
        <v>99.649137096774197</v>
      </c>
      <c r="CT42" s="4">
        <v>101.92331008064518</v>
      </c>
      <c r="CU42" s="5">
        <v>104.3111917137097</v>
      </c>
      <c r="CV42" s="7">
        <v>69.103058823529423</v>
      </c>
      <c r="CW42" s="4">
        <v>70.536000000000001</v>
      </c>
      <c r="CX42" s="4">
        <v>72.040588235294138</v>
      </c>
      <c r="CY42" s="4">
        <v>73.620405882352955</v>
      </c>
      <c r="CZ42" s="4">
        <v>75.279214411764727</v>
      </c>
      <c r="DA42" s="5">
        <v>77.020963367647084</v>
      </c>
      <c r="DB42" s="7">
        <v>70.373647058823536</v>
      </c>
      <c r="DC42" s="4">
        <v>71.870117647058834</v>
      </c>
      <c r="DD42" s="4">
        <v>73.441411764705904</v>
      </c>
      <c r="DE42" s="4">
        <v>78.390988235294131</v>
      </c>
      <c r="DF42" s="4">
        <v>84.083001176470589</v>
      </c>
      <c r="DG42" s="5">
        <v>90.628816058823531</v>
      </c>
      <c r="DH42" s="7">
        <v>70.373647058823536</v>
      </c>
      <c r="DI42" s="4">
        <v>71.870117647058834</v>
      </c>
      <c r="DJ42" s="4">
        <v>73.441411764705904</v>
      </c>
      <c r="DK42" s="4">
        <v>78.390988235294131</v>
      </c>
      <c r="DL42" s="4">
        <v>84.083001176470589</v>
      </c>
      <c r="DM42" s="6">
        <v>90.628816058823531</v>
      </c>
      <c r="DN42" s="8">
        <v>83.744640000000018</v>
      </c>
      <c r="DO42" s="4">
        <v>86.962842352941195</v>
      </c>
      <c r="DP42" s="4">
        <v>88.86410823529414</v>
      </c>
      <c r="DQ42" s="4">
        <v>94.853095764705898</v>
      </c>
      <c r="DR42" s="6">
        <v>100.05877139999998</v>
      </c>
      <c r="DS42" s="9">
        <v>106.03571478882353</v>
      </c>
      <c r="DT42" s="8">
        <v>100.49356800000002</v>
      </c>
      <c r="DU42" s="4">
        <v>104.35541082352944</v>
      </c>
      <c r="DV42" s="4">
        <v>106.63692988235297</v>
      </c>
      <c r="DW42" s="4">
        <v>110.97812204470591</v>
      </c>
      <c r="DX42" s="6">
        <v>119.06993796599998</v>
      </c>
      <c r="DY42" s="9">
        <v>126.1825005987</v>
      </c>
      <c r="DZ42" s="8">
        <v>100.49356800000002</v>
      </c>
      <c r="EA42" s="4">
        <v>104.35541082352944</v>
      </c>
      <c r="EB42" s="4">
        <v>106.63692988235297</v>
      </c>
      <c r="EC42" s="4">
        <v>110.97812204470591</v>
      </c>
      <c r="ED42" s="6">
        <v>119.06993796599998</v>
      </c>
      <c r="EE42" s="9">
        <v>126.1825005987</v>
      </c>
      <c r="EF42" s="7">
        <v>70.373647058823536</v>
      </c>
      <c r="EG42" s="4">
        <v>71.870117647058834</v>
      </c>
      <c r="EH42" s="4">
        <v>73.441411764705904</v>
      </c>
      <c r="EI42" s="4">
        <v>78.390988235294131</v>
      </c>
      <c r="EJ42" s="4">
        <v>84.083001176470589</v>
      </c>
      <c r="EK42" s="5">
        <v>90.628816058823531</v>
      </c>
      <c r="EL42" s="14">
        <v>93.455999999999989</v>
      </c>
      <c r="EM42" s="7">
        <v>93.649548387096786</v>
      </c>
      <c r="EN42" s="4">
        <v>95.623741935483878</v>
      </c>
      <c r="EO42" s="4">
        <v>97.69664516129032</v>
      </c>
      <c r="EP42" s="4">
        <v>102.04974193548388</v>
      </c>
      <c r="EQ42" s="4">
        <v>106.83814838709678</v>
      </c>
      <c r="ER42" s="5">
        <v>112.10539548387098</v>
      </c>
      <c r="ES42" s="7">
        <v>93.649548387096786</v>
      </c>
      <c r="ET42" s="4">
        <v>95.623741935483878</v>
      </c>
      <c r="EU42" s="4">
        <v>97.69664516129032</v>
      </c>
      <c r="EV42" s="4">
        <v>102.04974193548388</v>
      </c>
      <c r="EW42" s="4">
        <v>106.83814838709678</v>
      </c>
      <c r="EX42" s="5">
        <v>112.10539548387098</v>
      </c>
      <c r="EY42" s="7">
        <v>95.197935483870978</v>
      </c>
      <c r="EZ42" s="4">
        <v>97.24954838709678</v>
      </c>
      <c r="FA42" s="4">
        <v>99.403741935483879</v>
      </c>
      <c r="FB42" s="4">
        <v>106.18945161290324</v>
      </c>
      <c r="FC42" s="4">
        <v>113.99301774193549</v>
      </c>
      <c r="FD42" s="5">
        <v>122.96711879032259</v>
      </c>
    </row>
    <row r="43" spans="2:160" ht="15" thickBot="1" x14ac:dyDescent="0.35">
      <c r="B43" s="2">
        <v>29.001000000000001</v>
      </c>
      <c r="C43" s="3">
        <v>30</v>
      </c>
      <c r="D43" s="37">
        <v>96.649548387096786</v>
      </c>
      <c r="E43" s="16">
        <v>98.701161290322602</v>
      </c>
      <c r="F43" s="16">
        <v>100.8553548387097</v>
      </c>
      <c r="G43" s="16">
        <v>103.11725806451614</v>
      </c>
      <c r="H43" s="16">
        <v>105.49225645161292</v>
      </c>
      <c r="I43" s="38">
        <v>107.98600475806452</v>
      </c>
      <c r="J43" s="33">
        <v>96.843096774193555</v>
      </c>
      <c r="K43" s="16">
        <v>98.904387096774201</v>
      </c>
      <c r="L43" s="16">
        <v>101.06874193548387</v>
      </c>
      <c r="M43" s="16">
        <v>103.34131451612905</v>
      </c>
      <c r="N43" s="16">
        <v>105.72751572580646</v>
      </c>
      <c r="O43" s="17">
        <v>108.23302699596775</v>
      </c>
      <c r="P43" s="15">
        <v>97.036645161290338</v>
      </c>
      <c r="Q43" s="16">
        <v>99.107612903225814</v>
      </c>
      <c r="R43" s="16">
        <v>101.28212903225807</v>
      </c>
      <c r="S43" s="16">
        <v>103.56537096774194</v>
      </c>
      <c r="T43" s="16">
        <v>105.96277500000002</v>
      </c>
      <c r="U43" s="17">
        <v>108.480049233871</v>
      </c>
      <c r="V43" s="15">
        <v>96.843096774193555</v>
      </c>
      <c r="W43" s="16">
        <v>98.904387096774201</v>
      </c>
      <c r="X43" s="16">
        <v>101.06874193548387</v>
      </c>
      <c r="Y43" s="16">
        <v>103.34131451612905</v>
      </c>
      <c r="Z43" s="16">
        <v>105.72751572580646</v>
      </c>
      <c r="AA43" s="17">
        <v>108.23302699596775</v>
      </c>
      <c r="AB43" s="15">
        <v>97.036645161290338</v>
      </c>
      <c r="AC43" s="16">
        <v>99.107612903225814</v>
      </c>
      <c r="AD43" s="16">
        <v>101.28212903225807</v>
      </c>
      <c r="AE43" s="16">
        <v>103.56537096774194</v>
      </c>
      <c r="AF43" s="16">
        <v>108.59991943548387</v>
      </c>
      <c r="AG43" s="17">
        <v>111.24905089112906</v>
      </c>
      <c r="AH43" s="15">
        <v>97.036645161290338</v>
      </c>
      <c r="AI43" s="16">
        <v>99.107612903225814</v>
      </c>
      <c r="AJ43" s="16">
        <v>101.28212903225807</v>
      </c>
      <c r="AK43" s="16">
        <v>103.56537096774194</v>
      </c>
      <c r="AL43" s="16">
        <v>105.96277500000002</v>
      </c>
      <c r="AM43" s="17">
        <v>108.480049233871</v>
      </c>
      <c r="AN43" s="15">
        <v>97.036645161290338</v>
      </c>
      <c r="AO43" s="16">
        <v>99.107612903225814</v>
      </c>
      <c r="AP43" s="16">
        <v>101.28212903225807</v>
      </c>
      <c r="AQ43" s="16">
        <v>103.56537096774194</v>
      </c>
      <c r="AR43" s="16">
        <v>105.96277500000002</v>
      </c>
      <c r="AS43" s="17">
        <v>108.480049233871</v>
      </c>
      <c r="AT43" s="15">
        <v>96.843096774193555</v>
      </c>
      <c r="AU43" s="16">
        <v>98.904387096774201</v>
      </c>
      <c r="AV43" s="16">
        <v>101.06874193548387</v>
      </c>
      <c r="AW43" s="16">
        <v>103.34131451612905</v>
      </c>
      <c r="AX43" s="16">
        <v>105.72751572580646</v>
      </c>
      <c r="AY43" s="17">
        <v>108.23302699596775</v>
      </c>
      <c r="AZ43" s="15">
        <v>96.843096774193555</v>
      </c>
      <c r="BA43" s="16">
        <v>98.904387096774201</v>
      </c>
      <c r="BB43" s="16">
        <v>101.06874193548387</v>
      </c>
      <c r="BC43" s="16">
        <v>103.34131451612905</v>
      </c>
      <c r="BD43" s="16">
        <v>105.72751572580646</v>
      </c>
      <c r="BE43" s="17">
        <v>108.23302699596775</v>
      </c>
      <c r="BF43" s="15">
        <v>96.843096774193555</v>
      </c>
      <c r="BG43" s="16">
        <v>98.904387096774201</v>
      </c>
      <c r="BH43" s="16">
        <v>101.06874193548387</v>
      </c>
      <c r="BI43" s="16">
        <v>103.34131451612905</v>
      </c>
      <c r="BJ43" s="16">
        <v>105.72751572580646</v>
      </c>
      <c r="BK43" s="17">
        <v>108.23302699596775</v>
      </c>
      <c r="BL43" s="15">
        <v>96.843096774193555</v>
      </c>
      <c r="BM43" s="16">
        <v>98.904387096774201</v>
      </c>
      <c r="BN43" s="16">
        <v>101.06874193548387</v>
      </c>
      <c r="BO43" s="16">
        <v>103.34131451612905</v>
      </c>
      <c r="BP43" s="16">
        <v>105.72751572580646</v>
      </c>
      <c r="BQ43" s="17">
        <v>108.23302699596775</v>
      </c>
      <c r="BR43" s="15">
        <v>96.843096774193555</v>
      </c>
      <c r="BS43" s="16">
        <v>98.904387096774201</v>
      </c>
      <c r="BT43" s="16">
        <v>101.06874193548387</v>
      </c>
      <c r="BU43" s="16">
        <v>103.34131451612905</v>
      </c>
      <c r="BV43" s="16">
        <v>105.72751572580646</v>
      </c>
      <c r="BW43" s="17">
        <v>108.23302699596775</v>
      </c>
      <c r="BX43" s="15">
        <v>96.843096774193555</v>
      </c>
      <c r="BY43" s="16">
        <v>98.904387096774201</v>
      </c>
      <c r="BZ43" s="16">
        <v>101.06874193548387</v>
      </c>
      <c r="CA43" s="16">
        <v>103.34131451612905</v>
      </c>
      <c r="CB43" s="16">
        <v>105.72751572580646</v>
      </c>
      <c r="CC43" s="17">
        <v>108.23302699596775</v>
      </c>
      <c r="CD43" s="15">
        <v>96.843096774193555</v>
      </c>
      <c r="CE43" s="16">
        <v>98.904387096774201</v>
      </c>
      <c r="CF43" s="16">
        <v>101.06874193548387</v>
      </c>
      <c r="CG43" s="16">
        <v>103.34131451612905</v>
      </c>
      <c r="CH43" s="16">
        <v>105.72751572580646</v>
      </c>
      <c r="CI43" s="17">
        <v>108.23302699596775</v>
      </c>
      <c r="CJ43" s="15">
        <v>96.843096774193555</v>
      </c>
      <c r="CK43" s="16">
        <v>98.904387096774201</v>
      </c>
      <c r="CL43" s="16">
        <v>101.06874193548387</v>
      </c>
      <c r="CM43" s="16">
        <v>103.34131451612905</v>
      </c>
      <c r="CN43" s="16">
        <v>105.72751572580646</v>
      </c>
      <c r="CO43" s="17">
        <v>108.23302699596775</v>
      </c>
      <c r="CP43" s="15">
        <v>96.843096774193555</v>
      </c>
      <c r="CQ43" s="16">
        <v>98.904387096774201</v>
      </c>
      <c r="CR43" s="16">
        <v>101.06874193548387</v>
      </c>
      <c r="CS43" s="16">
        <v>103.34131451612905</v>
      </c>
      <c r="CT43" s="16">
        <v>105.72751572580646</v>
      </c>
      <c r="CU43" s="17">
        <v>108.23302699596775</v>
      </c>
      <c r="CV43" s="15">
        <v>71.573647058823539</v>
      </c>
      <c r="CW43" s="16">
        <v>73.077176470588242</v>
      </c>
      <c r="CX43" s="16">
        <v>74.655882352941177</v>
      </c>
      <c r="CY43" s="16">
        <v>76.313523529411782</v>
      </c>
      <c r="CZ43" s="16">
        <v>78.054046764705888</v>
      </c>
      <c r="DA43" s="17">
        <v>79.881596161764719</v>
      </c>
      <c r="DB43" s="15">
        <v>72.844235294117667</v>
      </c>
      <c r="DC43" s="16">
        <v>74.411294117647074</v>
      </c>
      <c r="DD43" s="16">
        <v>76.056705882352958</v>
      </c>
      <c r="DE43" s="16">
        <v>81.239752941176491</v>
      </c>
      <c r="DF43" s="16">
        <v>87.200257058823524</v>
      </c>
      <c r="DG43" s="17">
        <v>94.054836794117648</v>
      </c>
      <c r="DH43" s="15">
        <v>72.844235294117667</v>
      </c>
      <c r="DI43" s="16">
        <v>74.411294117647074</v>
      </c>
      <c r="DJ43" s="16">
        <v>76.056705882352958</v>
      </c>
      <c r="DK43" s="16">
        <v>81.239752941176491</v>
      </c>
      <c r="DL43" s="16">
        <v>87.200257058823524</v>
      </c>
      <c r="DM43" s="18">
        <v>94.054836794117648</v>
      </c>
      <c r="DN43" s="8">
        <v>86.684640000000016</v>
      </c>
      <c r="DO43" s="4">
        <v>90.037665882352954</v>
      </c>
      <c r="DP43" s="4">
        <v>92.028614117647066</v>
      </c>
      <c r="DQ43" s="4">
        <v>98.300101058823543</v>
      </c>
      <c r="DR43" s="6">
        <v>103.7683059</v>
      </c>
      <c r="DS43" s="9">
        <v>110.04415904911765</v>
      </c>
      <c r="DT43" s="8">
        <v>104.02156800000002</v>
      </c>
      <c r="DU43" s="4">
        <v>108.04519905882354</v>
      </c>
      <c r="DV43" s="4">
        <v>110.43433694117648</v>
      </c>
      <c r="DW43" s="4">
        <v>115.01111823882356</v>
      </c>
      <c r="DX43" s="6">
        <v>123.48428402100002</v>
      </c>
      <c r="DY43" s="9">
        <v>130.95254926845001</v>
      </c>
      <c r="DZ43" s="8">
        <v>104.02156800000002</v>
      </c>
      <c r="EA43" s="4">
        <v>108.04519905882354</v>
      </c>
      <c r="EB43" s="4">
        <v>110.43433694117648</v>
      </c>
      <c r="EC43" s="4">
        <v>115.01111823882356</v>
      </c>
      <c r="ED43" s="6">
        <v>123.48428402100002</v>
      </c>
      <c r="EE43" s="9">
        <v>130.95254926845001</v>
      </c>
      <c r="EF43" s="15">
        <v>72.844235294117667</v>
      </c>
      <c r="EG43" s="16">
        <v>74.411294117647074</v>
      </c>
      <c r="EH43" s="16">
        <v>76.056705882352958</v>
      </c>
      <c r="EI43" s="16">
        <v>81.239752941176491</v>
      </c>
      <c r="EJ43" s="16">
        <v>87.200257058823524</v>
      </c>
      <c r="EK43" s="17">
        <v>94.054836794117648</v>
      </c>
      <c r="EL43" s="19">
        <v>96.843096774193555</v>
      </c>
      <c r="EM43" s="15">
        <v>97.036645161290338</v>
      </c>
      <c r="EN43" s="16">
        <v>99.107612903225814</v>
      </c>
      <c r="EO43" s="16">
        <v>101.28212903225807</v>
      </c>
      <c r="EP43" s="16">
        <v>105.84861290322581</v>
      </c>
      <c r="EQ43" s="16">
        <v>110.87174516129033</v>
      </c>
      <c r="ER43" s="17">
        <v>116.3971906451613</v>
      </c>
      <c r="ES43" s="15">
        <v>97.036645161290338</v>
      </c>
      <c r="ET43" s="16">
        <v>99.107612903225814</v>
      </c>
      <c r="EU43" s="16">
        <v>101.28212903225807</v>
      </c>
      <c r="EV43" s="16">
        <v>105.84861290322581</v>
      </c>
      <c r="EW43" s="16">
        <v>110.87174516129033</v>
      </c>
      <c r="EX43" s="17">
        <v>116.3971906451613</v>
      </c>
      <c r="EY43" s="15">
        <v>98.585032258064516</v>
      </c>
      <c r="EZ43" s="16">
        <v>100.73341935483872</v>
      </c>
      <c r="FA43" s="16">
        <v>102.98922580645161</v>
      </c>
      <c r="FB43" s="16">
        <v>110.09501612903227</v>
      </c>
      <c r="FC43" s="16">
        <v>118.26667499999999</v>
      </c>
      <c r="FD43" s="17">
        <v>127.6640827016129</v>
      </c>
    </row>
    <row r="44" spans="2:160" ht="15" thickBot="1" x14ac:dyDescent="0.35">
      <c r="B44" s="43" t="s">
        <v>164</v>
      </c>
      <c r="C44" s="44"/>
      <c r="D44" s="24">
        <v>14.004387096774193</v>
      </c>
      <c r="E44" s="26">
        <v>14.101161290322576</v>
      </c>
      <c r="F44" s="26">
        <v>14.202774193548386</v>
      </c>
      <c r="G44" s="26">
        <v>14.309467741935483</v>
      </c>
      <c r="H44" s="26">
        <v>14.421495967741935</v>
      </c>
      <c r="I44" s="27">
        <v>14.539125604838709</v>
      </c>
      <c r="J44" s="34">
        <v>14.004387096774193</v>
      </c>
      <c r="K44" s="21">
        <v>14.101161290322581</v>
      </c>
      <c r="L44" s="21">
        <v>14.202774193548391</v>
      </c>
      <c r="M44" s="21">
        <v>14.309467741935489</v>
      </c>
      <c r="N44" s="21">
        <v>14.421495967741944</v>
      </c>
      <c r="O44" s="22">
        <v>14.539125604838715</v>
      </c>
      <c r="P44" s="20">
        <v>14.004387096774193</v>
      </c>
      <c r="Q44" s="21">
        <v>14.101161290322581</v>
      </c>
      <c r="R44" s="21">
        <v>14.202774193548391</v>
      </c>
      <c r="S44" s="21">
        <v>14.309467741935489</v>
      </c>
      <c r="T44" s="21">
        <v>14.421495967741935</v>
      </c>
      <c r="U44" s="22">
        <v>14.539125604838709</v>
      </c>
      <c r="V44" s="20">
        <v>14.004387096774193</v>
      </c>
      <c r="W44" s="21">
        <v>14.101161290322581</v>
      </c>
      <c r="X44" s="21">
        <v>14.202774193548391</v>
      </c>
      <c r="Y44" s="21">
        <v>14.309467741935489</v>
      </c>
      <c r="Z44" s="21">
        <v>14.421495967741944</v>
      </c>
      <c r="AA44" s="22">
        <v>14.539125604838715</v>
      </c>
      <c r="AB44" s="20">
        <v>14.004387096774193</v>
      </c>
      <c r="AC44" s="21">
        <v>14.101161290322581</v>
      </c>
      <c r="AD44" s="21">
        <v>14.202774193548391</v>
      </c>
      <c r="AE44" s="21">
        <v>14.309467741935489</v>
      </c>
      <c r="AF44" s="21">
        <v>14.544727016129032</v>
      </c>
      <c r="AG44" s="22">
        <v>14.668518205645164</v>
      </c>
      <c r="AH44" s="20">
        <v>14.004387096774193</v>
      </c>
      <c r="AI44" s="21">
        <v>14.101161290322581</v>
      </c>
      <c r="AJ44" s="21">
        <v>14.202774193548391</v>
      </c>
      <c r="AK44" s="21">
        <v>14.309467741935489</v>
      </c>
      <c r="AL44" s="21">
        <v>14.421495967741935</v>
      </c>
      <c r="AM44" s="22">
        <v>14.539125604838709</v>
      </c>
      <c r="AN44" s="20">
        <v>14.004387096774193</v>
      </c>
      <c r="AO44" s="21">
        <v>14.101161290322581</v>
      </c>
      <c r="AP44" s="21">
        <v>14.202774193548391</v>
      </c>
      <c r="AQ44" s="21">
        <v>14.309467741935489</v>
      </c>
      <c r="AR44" s="21">
        <v>14.421495967741935</v>
      </c>
      <c r="AS44" s="22">
        <v>14.539125604838709</v>
      </c>
      <c r="AT44" s="20">
        <v>14.004387096774193</v>
      </c>
      <c r="AU44" s="21">
        <v>14.101161290322581</v>
      </c>
      <c r="AV44" s="21">
        <v>14.202774193548391</v>
      </c>
      <c r="AW44" s="21">
        <v>14.309467741935489</v>
      </c>
      <c r="AX44" s="21">
        <v>14.421495967741944</v>
      </c>
      <c r="AY44" s="22">
        <v>14.539125604838715</v>
      </c>
      <c r="AZ44" s="20">
        <v>14.004387096774193</v>
      </c>
      <c r="BA44" s="21">
        <v>14.101161290322581</v>
      </c>
      <c r="BB44" s="21">
        <v>14.202774193548391</v>
      </c>
      <c r="BC44" s="21">
        <v>14.309467741935489</v>
      </c>
      <c r="BD44" s="21">
        <v>14.421495967741944</v>
      </c>
      <c r="BE44" s="22">
        <v>14.539125604838715</v>
      </c>
      <c r="BF44" s="20">
        <v>14.004387096774193</v>
      </c>
      <c r="BG44" s="21">
        <v>14.101161290322581</v>
      </c>
      <c r="BH44" s="21">
        <v>14.202774193548391</v>
      </c>
      <c r="BI44" s="21">
        <v>14.309467741935489</v>
      </c>
      <c r="BJ44" s="21">
        <v>14.421495967741944</v>
      </c>
      <c r="BK44" s="22">
        <v>14.539125604838715</v>
      </c>
      <c r="BL44" s="20">
        <v>14.004387096774193</v>
      </c>
      <c r="BM44" s="21">
        <v>14.101161290322581</v>
      </c>
      <c r="BN44" s="21">
        <v>14.202774193548391</v>
      </c>
      <c r="BO44" s="21">
        <v>14.309467741935489</v>
      </c>
      <c r="BP44" s="21">
        <v>14.421495967741944</v>
      </c>
      <c r="BQ44" s="22">
        <v>14.539125604838715</v>
      </c>
      <c r="BR44" s="20">
        <v>14.004387096774193</v>
      </c>
      <c r="BS44" s="21">
        <v>14.101161290322581</v>
      </c>
      <c r="BT44" s="21">
        <v>14.202774193548391</v>
      </c>
      <c r="BU44" s="21">
        <v>14.309467741935489</v>
      </c>
      <c r="BV44" s="21">
        <v>14.421495967741944</v>
      </c>
      <c r="BW44" s="22">
        <v>14.539125604838715</v>
      </c>
      <c r="BX44" s="20">
        <v>14.004387096774193</v>
      </c>
      <c r="BY44" s="21">
        <v>14.101161290322581</v>
      </c>
      <c r="BZ44" s="21">
        <v>14.202774193548391</v>
      </c>
      <c r="CA44" s="21">
        <v>14.309467741935489</v>
      </c>
      <c r="CB44" s="21">
        <v>14.421495967741944</v>
      </c>
      <c r="CC44" s="22">
        <v>14.539125604838715</v>
      </c>
      <c r="CD44" s="20">
        <v>14.004387096774193</v>
      </c>
      <c r="CE44" s="21">
        <v>14.101161290322581</v>
      </c>
      <c r="CF44" s="21">
        <v>14.202774193548391</v>
      </c>
      <c r="CG44" s="21">
        <v>14.309467741935489</v>
      </c>
      <c r="CH44" s="21">
        <v>14.421495967741944</v>
      </c>
      <c r="CI44" s="22">
        <v>14.539125604838715</v>
      </c>
      <c r="CJ44" s="20">
        <v>14.004387096774193</v>
      </c>
      <c r="CK44" s="21">
        <v>14.101161290322581</v>
      </c>
      <c r="CL44" s="21">
        <v>14.202774193548391</v>
      </c>
      <c r="CM44" s="21">
        <v>14.309467741935489</v>
      </c>
      <c r="CN44" s="21">
        <v>14.421495967741944</v>
      </c>
      <c r="CO44" s="22">
        <v>14.539125604838715</v>
      </c>
      <c r="CP44" s="20">
        <v>14.004387096774193</v>
      </c>
      <c r="CQ44" s="21">
        <v>14.101161290322581</v>
      </c>
      <c r="CR44" s="21">
        <v>14.202774193548391</v>
      </c>
      <c r="CS44" s="21">
        <v>14.309467741935489</v>
      </c>
      <c r="CT44" s="21">
        <v>14.421495967741944</v>
      </c>
      <c r="CU44" s="22">
        <v>14.539125604838715</v>
      </c>
      <c r="CV44" s="20">
        <v>11.150117647058822</v>
      </c>
      <c r="CW44" s="21">
        <v>11.220705882352942</v>
      </c>
      <c r="CX44" s="21">
        <v>11.294823529411769</v>
      </c>
      <c r="CY44" s="21">
        <v>11.372647058823533</v>
      </c>
      <c r="CZ44" s="21">
        <v>11.454361764705888</v>
      </c>
      <c r="DA44" s="22">
        <v>11.540162205882357</v>
      </c>
      <c r="DB44" s="20">
        <v>11.150117647058822</v>
      </c>
      <c r="DC44" s="21">
        <v>11.220705882352942</v>
      </c>
      <c r="DD44" s="21">
        <v>11.294823529411762</v>
      </c>
      <c r="DE44" s="21">
        <v>11.528294117647054</v>
      </c>
      <c r="DF44" s="21">
        <v>11.796785294117644</v>
      </c>
      <c r="DG44" s="22">
        <v>12.105550147058819</v>
      </c>
      <c r="DH44" s="20">
        <v>11.150117647058822</v>
      </c>
      <c r="DI44" s="21">
        <v>11.220705882352942</v>
      </c>
      <c r="DJ44" s="21">
        <v>11.294823529411762</v>
      </c>
      <c r="DK44" s="21">
        <v>11.528294117647054</v>
      </c>
      <c r="DL44" s="21">
        <v>11.796785294117644</v>
      </c>
      <c r="DM44" s="23">
        <v>12.105550147058819</v>
      </c>
      <c r="DN44" s="24">
        <v>11.150117647058822</v>
      </c>
      <c r="DO44" s="25">
        <v>11.150117647058822</v>
      </c>
      <c r="DP44" s="26">
        <v>11.294823529411762</v>
      </c>
      <c r="DQ44" s="26">
        <v>11.528294117647054</v>
      </c>
      <c r="DR44" s="26">
        <v>11.796785294117644</v>
      </c>
      <c r="DS44" s="27">
        <v>12.105550147058819</v>
      </c>
      <c r="DT44" s="24">
        <v>11.150117647058822</v>
      </c>
      <c r="DU44" s="26">
        <v>11.220705882352942</v>
      </c>
      <c r="DV44" s="26">
        <v>11.294823529411762</v>
      </c>
      <c r="DW44" s="26">
        <v>11.528294117647054</v>
      </c>
      <c r="DX44" s="26">
        <v>11.796785294117644</v>
      </c>
      <c r="DY44" s="27">
        <v>12.105550147058819</v>
      </c>
      <c r="DZ44" s="24">
        <v>11.150117647058822</v>
      </c>
      <c r="EA44" s="26">
        <v>11.220705882352942</v>
      </c>
      <c r="EB44" s="26">
        <v>11.294823529411762</v>
      </c>
      <c r="EC44" s="26">
        <v>11.528294117647054</v>
      </c>
      <c r="ED44" s="26">
        <v>11.796785294117644</v>
      </c>
      <c r="EE44" s="27">
        <v>12.105550147058819</v>
      </c>
      <c r="EF44" s="20">
        <v>11.150117647058822</v>
      </c>
      <c r="EG44" s="21">
        <v>11.220705882352942</v>
      </c>
      <c r="EH44" s="21">
        <v>11.294823529411762</v>
      </c>
      <c r="EI44" s="21">
        <v>11.528294117647054</v>
      </c>
      <c r="EJ44" s="21">
        <v>11.796785294117644</v>
      </c>
      <c r="EK44" s="22">
        <v>12.105550147058819</v>
      </c>
      <c r="EL44" s="22">
        <v>14.004387096774193</v>
      </c>
      <c r="EM44" s="20">
        <v>14.004387096774193</v>
      </c>
      <c r="EN44" s="21">
        <v>14.101161290322581</v>
      </c>
      <c r="EO44" s="21">
        <v>14.202774193548391</v>
      </c>
      <c r="EP44" s="21">
        <v>14.416161290322588</v>
      </c>
      <c r="EQ44" s="21">
        <v>14.6508870967742</v>
      </c>
      <c r="ER44" s="22">
        <v>14.909085483870973</v>
      </c>
      <c r="ES44" s="20">
        <v>14.004387096774193</v>
      </c>
      <c r="ET44" s="21">
        <v>14.101161290322581</v>
      </c>
      <c r="EU44" s="21">
        <v>14.202774193548391</v>
      </c>
      <c r="EV44" s="21">
        <v>14.416161290322588</v>
      </c>
      <c r="EW44" s="21">
        <v>14.6508870967742</v>
      </c>
      <c r="EX44" s="22">
        <v>14.909085483870973</v>
      </c>
      <c r="EY44" s="20">
        <v>14.004387096774193</v>
      </c>
      <c r="EZ44" s="21">
        <v>14.101161290322581</v>
      </c>
      <c r="FA44" s="21">
        <v>14.202774193548386</v>
      </c>
      <c r="FB44" s="21">
        <v>14.522854838709669</v>
      </c>
      <c r="FC44" s="21">
        <v>14.890947580645157</v>
      </c>
      <c r="FD44" s="22">
        <v>15.31425423387096</v>
      </c>
    </row>
    <row r="46" spans="2:160" x14ac:dyDescent="0.3">
      <c r="B46" s="31" t="s">
        <v>165</v>
      </c>
    </row>
    <row r="47" spans="2:160" x14ac:dyDescent="0.3">
      <c r="B47" s="32" t="s">
        <v>166</v>
      </c>
    </row>
    <row r="48" spans="2:160" x14ac:dyDescent="0.3">
      <c r="B48" s="32" t="s">
        <v>167</v>
      </c>
    </row>
    <row r="49" spans="2:2" x14ac:dyDescent="0.3">
      <c r="B49" s="32" t="s">
        <v>168</v>
      </c>
    </row>
    <row r="50" spans="2:2" x14ac:dyDescent="0.3">
      <c r="B50" s="32" t="s">
        <v>169</v>
      </c>
    </row>
    <row r="51" spans="2:2" x14ac:dyDescent="0.3">
      <c r="B51" s="32" t="s">
        <v>170</v>
      </c>
    </row>
    <row r="52" spans="2:2" x14ac:dyDescent="0.3">
      <c r="B52" s="32" t="s">
        <v>171</v>
      </c>
    </row>
    <row r="53" spans="2:2" x14ac:dyDescent="0.3">
      <c r="B53" s="32" t="s">
        <v>172</v>
      </c>
    </row>
    <row r="54" spans="2:2" x14ac:dyDescent="0.3">
      <c r="B54" s="32" t="s">
        <v>173</v>
      </c>
    </row>
    <row r="55" spans="2:2" x14ac:dyDescent="0.3">
      <c r="B55" s="32" t="s">
        <v>174</v>
      </c>
    </row>
    <row r="56" spans="2:2" x14ac:dyDescent="0.3">
      <c r="B56" s="32" t="s">
        <v>175</v>
      </c>
    </row>
    <row r="57" spans="2:2" x14ac:dyDescent="0.3">
      <c r="B57" s="32" t="s">
        <v>176</v>
      </c>
    </row>
    <row r="58" spans="2:2" x14ac:dyDescent="0.3">
      <c r="B58" s="32" t="s">
        <v>177</v>
      </c>
    </row>
    <row r="59" spans="2:2" x14ac:dyDescent="0.3">
      <c r="B59" s="32" t="s">
        <v>178</v>
      </c>
    </row>
    <row r="60" spans="2:2" x14ac:dyDescent="0.3">
      <c r="B60" s="32" t="s">
        <v>179</v>
      </c>
    </row>
    <row r="61" spans="2:2" x14ac:dyDescent="0.3">
      <c r="B61" s="32" t="s">
        <v>180</v>
      </c>
    </row>
    <row r="62" spans="2:2" x14ac:dyDescent="0.3">
      <c r="B62" s="32" t="s">
        <v>181</v>
      </c>
    </row>
    <row r="63" spans="2:2" x14ac:dyDescent="0.3">
      <c r="B63" s="32" t="s">
        <v>182</v>
      </c>
    </row>
  </sheetData>
  <mergeCells count="165">
    <mergeCell ref="D8:AA8"/>
    <mergeCell ref="AB8:AS8"/>
    <mergeCell ref="AT8:CU8"/>
    <mergeCell ref="CV8:EK8"/>
    <mergeCell ref="EL8:FD8"/>
    <mergeCell ref="B9:C9"/>
    <mergeCell ref="D9:D10"/>
    <mergeCell ref="E9:E10"/>
    <mergeCell ref="F9:F10"/>
    <mergeCell ref="G9:G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AL9:AL10"/>
    <mergeCell ref="AM9:AM10"/>
    <mergeCell ref="AN9:AN10"/>
    <mergeCell ref="AO9:AO10"/>
    <mergeCell ref="AP9:AP10"/>
    <mergeCell ref="AQ9:AQ10"/>
    <mergeCell ref="AF9:AF10"/>
    <mergeCell ref="AG9:AG10"/>
    <mergeCell ref="AH9:AH10"/>
    <mergeCell ref="AI9:AI10"/>
    <mergeCell ref="AJ9:AJ10"/>
    <mergeCell ref="AK9:AK10"/>
    <mergeCell ref="AX9:AX10"/>
    <mergeCell ref="AY9:AY10"/>
    <mergeCell ref="AZ9:AZ10"/>
    <mergeCell ref="BA9:BA10"/>
    <mergeCell ref="BB9:BB10"/>
    <mergeCell ref="BC9:BC10"/>
    <mergeCell ref="AR9:AR10"/>
    <mergeCell ref="AS9:AS10"/>
    <mergeCell ref="AT9:AT10"/>
    <mergeCell ref="AU9:AU10"/>
    <mergeCell ref="AV9:AV10"/>
    <mergeCell ref="AW9:AW10"/>
    <mergeCell ref="BJ9:BJ10"/>
    <mergeCell ref="BK9:BK10"/>
    <mergeCell ref="BL9:BL10"/>
    <mergeCell ref="BM9:BM10"/>
    <mergeCell ref="BN9:BN10"/>
    <mergeCell ref="BO9:BO10"/>
    <mergeCell ref="BD9:BD10"/>
    <mergeCell ref="BE9:BE10"/>
    <mergeCell ref="BF9:BF10"/>
    <mergeCell ref="BG9:BG10"/>
    <mergeCell ref="BH9:BH10"/>
    <mergeCell ref="BI9:BI10"/>
    <mergeCell ref="BV9:BV10"/>
    <mergeCell ref="BW9:BW10"/>
    <mergeCell ref="BX9:BX10"/>
    <mergeCell ref="BY9:BY10"/>
    <mergeCell ref="BZ9:BZ10"/>
    <mergeCell ref="CA9:CA10"/>
    <mergeCell ref="BP9:BP10"/>
    <mergeCell ref="BQ9:BQ10"/>
    <mergeCell ref="BR9:BR10"/>
    <mergeCell ref="BS9:BS10"/>
    <mergeCell ref="BT9:BT10"/>
    <mergeCell ref="BU9:BU10"/>
    <mergeCell ref="CH9:CH10"/>
    <mergeCell ref="CI9:CI10"/>
    <mergeCell ref="CJ9:CJ10"/>
    <mergeCell ref="CK9:CK10"/>
    <mergeCell ref="CL9:CL10"/>
    <mergeCell ref="CM9:CM10"/>
    <mergeCell ref="CB9:CB10"/>
    <mergeCell ref="CC9:CC10"/>
    <mergeCell ref="CD9:CD10"/>
    <mergeCell ref="CE9:CE10"/>
    <mergeCell ref="CF9:CF10"/>
    <mergeCell ref="CG9:CG10"/>
    <mergeCell ref="CT9:CT10"/>
    <mergeCell ref="CU9:CU10"/>
    <mergeCell ref="CV9:CV10"/>
    <mergeCell ref="CW9:CW10"/>
    <mergeCell ref="CX9:CX10"/>
    <mergeCell ref="CY9:CY10"/>
    <mergeCell ref="CN9:CN10"/>
    <mergeCell ref="CO9:CO10"/>
    <mergeCell ref="CP9:CP10"/>
    <mergeCell ref="CQ9:CQ10"/>
    <mergeCell ref="CR9:CR10"/>
    <mergeCell ref="CS9:CS10"/>
    <mergeCell ref="DF9:DF10"/>
    <mergeCell ref="DG9:DG10"/>
    <mergeCell ref="DH9:DH10"/>
    <mergeCell ref="DI9:DI10"/>
    <mergeCell ref="DJ9:DJ10"/>
    <mergeCell ref="DK9:DK10"/>
    <mergeCell ref="CZ9:CZ10"/>
    <mergeCell ref="DA9:DA10"/>
    <mergeCell ref="DB9:DB10"/>
    <mergeCell ref="DC9:DC10"/>
    <mergeCell ref="DD9:DD10"/>
    <mergeCell ref="DE9:DE10"/>
    <mergeCell ref="DR9:DR10"/>
    <mergeCell ref="DS9:DS10"/>
    <mergeCell ref="DT9:DT10"/>
    <mergeCell ref="DU9:DU10"/>
    <mergeCell ref="DV9:DV10"/>
    <mergeCell ref="DW9:DW10"/>
    <mergeCell ref="DL9:DL10"/>
    <mergeCell ref="DM9:DM10"/>
    <mergeCell ref="DN9:DN10"/>
    <mergeCell ref="DO9:DO10"/>
    <mergeCell ref="DP9:DP10"/>
    <mergeCell ref="DQ9:DQ10"/>
    <mergeCell ref="EE9:EE10"/>
    <mergeCell ref="EF9:EF10"/>
    <mergeCell ref="EG9:EG10"/>
    <mergeCell ref="EH9:EH10"/>
    <mergeCell ref="EI9:EI10"/>
    <mergeCell ref="DX9:DX10"/>
    <mergeCell ref="DY9:DY10"/>
    <mergeCell ref="DZ9:DZ10"/>
    <mergeCell ref="EA9:EA10"/>
    <mergeCell ref="EB9:EB10"/>
    <mergeCell ref="EC9:EC10"/>
    <mergeCell ref="FB9:FB10"/>
    <mergeCell ref="FC9:FC10"/>
    <mergeCell ref="FD9:FD10"/>
    <mergeCell ref="B10:C10"/>
    <mergeCell ref="B44:C44"/>
    <mergeCell ref="EV9:EV10"/>
    <mergeCell ref="EW9:EW10"/>
    <mergeCell ref="EX9:EX10"/>
    <mergeCell ref="EY9:EY10"/>
    <mergeCell ref="EZ9:EZ10"/>
    <mergeCell ref="FA9:FA10"/>
    <mergeCell ref="EP9:EP10"/>
    <mergeCell ref="EQ9:EQ10"/>
    <mergeCell ref="ER9:ER10"/>
    <mergeCell ref="ES9:ES10"/>
    <mergeCell ref="ET9:ET10"/>
    <mergeCell ref="EU9:EU10"/>
    <mergeCell ref="EJ9:EJ10"/>
    <mergeCell ref="EK9:EK10"/>
    <mergeCell ref="EL9:EL10"/>
    <mergeCell ref="EM9:EM10"/>
    <mergeCell ref="EN9:EN10"/>
    <mergeCell ref="EO9:EO10"/>
    <mergeCell ref="ED9:ED1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PROPOSTA COMERCIAL</vt:lpstr>
      <vt:lpstr>PROPOSTA PADRÃO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 PA</dc:creator>
  <cp:lastModifiedBy>Michell Silva</cp:lastModifiedBy>
  <dcterms:created xsi:type="dcterms:W3CDTF">2025-06-12T18:08:35Z</dcterms:created>
  <dcterms:modified xsi:type="dcterms:W3CDTF">2026-02-02T17:43:26Z</dcterms:modified>
</cp:coreProperties>
</file>